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pping and Returns\Downloads\"/>
    </mc:Choice>
  </mc:AlternateContent>
  <bookViews>
    <workbookView xWindow="0" yWindow="0" windowWidth="23160" windowHeight="12990" activeTab="1"/>
  </bookViews>
  <sheets>
    <sheet name="Sheet1" sheetId="1" r:id="rId1"/>
    <sheet name="Sheet2" sheetId="2" r:id="rId2"/>
  </sheets>
  <definedNames>
    <definedName name="ClearThemAll">Sheet1!$B$1:$B$22</definedName>
    <definedName name="_xlnm.Print_Area" localSheetId="0">Sheet1!$B$5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" l="1"/>
  <c r="A27" i="1" l="1"/>
  <c r="S27" i="1" l="1"/>
  <c r="AF27" i="1" l="1"/>
  <c r="F49" i="1" l="1"/>
  <c r="I32" i="1"/>
  <c r="E33" i="1"/>
  <c r="E34" i="1"/>
  <c r="E35" i="1"/>
  <c r="E36" i="1"/>
  <c r="G36" i="1"/>
  <c r="E37" i="1"/>
  <c r="G37" i="1"/>
  <c r="E38" i="1"/>
  <c r="E39" i="1"/>
  <c r="I39" i="1"/>
  <c r="E40" i="1"/>
  <c r="I40" i="1"/>
  <c r="E41" i="1"/>
  <c r="I41" i="1"/>
  <c r="AG27" i="1"/>
  <c r="AE27" i="1"/>
  <c r="AD27" i="1"/>
  <c r="Z27" i="1"/>
  <c r="Y27" i="1"/>
  <c r="X27" i="1"/>
  <c r="W27" i="1"/>
  <c r="V27" i="1"/>
  <c r="U27" i="1"/>
  <c r="AB27" i="1"/>
  <c r="Q36" i="1"/>
  <c r="T36" i="1"/>
  <c r="U44" i="1" s="1"/>
  <c r="U47" i="1"/>
  <c r="T50" i="1"/>
  <c r="T49" i="1"/>
  <c r="T48" i="1"/>
  <c r="T47" i="1"/>
  <c r="T45" i="1"/>
  <c r="T59" i="1" s="1"/>
  <c r="T46" i="1"/>
  <c r="T60" i="1" s="1"/>
  <c r="T38" i="1"/>
  <c r="T52" i="1" s="1"/>
  <c r="T39" i="1"/>
  <c r="T53" i="1" s="1"/>
  <c r="T40" i="1"/>
  <c r="T54" i="1" s="1"/>
  <c r="T41" i="1"/>
  <c r="T55" i="1" s="1"/>
  <c r="T42" i="1"/>
  <c r="T56" i="1" s="1"/>
  <c r="T43" i="1"/>
  <c r="T57" i="1" s="1"/>
  <c r="T44" i="1"/>
  <c r="T58" i="1" s="1"/>
  <c r="T37" i="1"/>
  <c r="T51" i="1" s="1"/>
  <c r="U51" i="1" s="1"/>
  <c r="Q32" i="1"/>
  <c r="O27" i="1" s="1"/>
  <c r="N27" i="1"/>
  <c r="L27" i="1"/>
  <c r="K27" i="1"/>
  <c r="J27" i="1"/>
  <c r="I27" i="1"/>
  <c r="H27" i="1"/>
  <c r="G27" i="1"/>
  <c r="F27" i="1"/>
  <c r="D27" i="1"/>
  <c r="E27" i="1" s="1"/>
  <c r="C27" i="1"/>
  <c r="I38" i="1" l="1"/>
  <c r="I37" i="1" s="1"/>
  <c r="I33" i="1"/>
  <c r="I34" i="1"/>
  <c r="U53" i="1"/>
  <c r="U52" i="1"/>
  <c r="U55" i="1"/>
  <c r="U54" i="1"/>
  <c r="U56" i="1"/>
  <c r="U57" i="1"/>
  <c r="U58" i="1"/>
  <c r="U59" i="1"/>
  <c r="U60" i="1"/>
  <c r="T62" i="1" l="1"/>
  <c r="U48" i="1" s="1"/>
  <c r="R27" i="1" s="1"/>
  <c r="E44" i="1"/>
  <c r="AA27" i="1" l="1"/>
  <c r="AC27" i="1" s="1"/>
  <c r="N41" i="1" l="1"/>
  <c r="N37" i="1"/>
  <c r="N33" i="1"/>
  <c r="N40" i="1"/>
  <c r="N36" i="1"/>
  <c r="N39" i="1"/>
  <c r="N35" i="1"/>
  <c r="N38" i="1"/>
  <c r="N34" i="1"/>
</calcChain>
</file>

<file path=xl/sharedStrings.xml><?xml version="1.0" encoding="utf-8"?>
<sst xmlns="http://schemas.openxmlformats.org/spreadsheetml/2006/main" count="707" uniqueCount="396">
  <si>
    <t>Price</t>
  </si>
  <si>
    <t>Brand</t>
  </si>
  <si>
    <t>Part Type</t>
  </si>
  <si>
    <t>Part Number</t>
  </si>
  <si>
    <t>Weight</t>
  </si>
  <si>
    <t>Width</t>
  </si>
  <si>
    <t>Height</t>
  </si>
  <si>
    <t>Depth</t>
  </si>
  <si>
    <t>Condition</t>
  </si>
  <si>
    <t>New</t>
  </si>
  <si>
    <t>Affinity</t>
  </si>
  <si>
    <t>Akai</t>
  </si>
  <si>
    <t>Avera</t>
  </si>
  <si>
    <t>Coby</t>
  </si>
  <si>
    <t>Crosley</t>
  </si>
  <si>
    <t>Dell</t>
  </si>
  <si>
    <t>Dynex</t>
  </si>
  <si>
    <t>Element</t>
  </si>
  <si>
    <t>Emerson</t>
  </si>
  <si>
    <t>Funai</t>
  </si>
  <si>
    <t>Haier</t>
  </si>
  <si>
    <t>Hisense</t>
  </si>
  <si>
    <t>Hitachi</t>
  </si>
  <si>
    <t>Insignia</t>
  </si>
  <si>
    <t>JVC</t>
  </si>
  <si>
    <t>Magnavox</t>
  </si>
  <si>
    <t>Maxent</t>
  </si>
  <si>
    <t>Mitsubishi</t>
  </si>
  <si>
    <t>LG</t>
  </si>
  <si>
    <t>NEC</t>
  </si>
  <si>
    <t>oCosmo</t>
  </si>
  <si>
    <t>Pelco</t>
  </si>
  <si>
    <t>Philips</t>
  </si>
  <si>
    <t>Polaroid</t>
  </si>
  <si>
    <t>Proscan</t>
  </si>
  <si>
    <t>Quasar</t>
  </si>
  <si>
    <t>RCA</t>
  </si>
  <si>
    <t>Samsung</t>
  </si>
  <si>
    <t>Sanyo</t>
  </si>
  <si>
    <t>Sansui</t>
  </si>
  <si>
    <t>Sceptre</t>
  </si>
  <si>
    <t>Seiki</t>
  </si>
  <si>
    <t>Sharp</t>
  </si>
  <si>
    <t>Silo</t>
  </si>
  <si>
    <t>Sony</t>
  </si>
  <si>
    <t>Sylvania</t>
  </si>
  <si>
    <t>TCL</t>
  </si>
  <si>
    <t>Toshiba</t>
  </si>
  <si>
    <t>Upstar</t>
  </si>
  <si>
    <t>Viewsonic</t>
  </si>
  <si>
    <t>Westinghouse</t>
  </si>
  <si>
    <t>TV Model 1</t>
  </si>
  <si>
    <t>TV Model 2</t>
  </si>
  <si>
    <t>TV Model 3</t>
  </si>
  <si>
    <t>TV Model 4</t>
  </si>
  <si>
    <t>TV Model 5</t>
  </si>
  <si>
    <t>TV Model 6</t>
  </si>
  <si>
    <t>TV Model 7</t>
  </si>
  <si>
    <t>TV Model 9</t>
  </si>
  <si>
    <t>TV Model 8</t>
  </si>
  <si>
    <t>TV Model 10</t>
  </si>
  <si>
    <t>Used</t>
  </si>
  <si>
    <t>Important Notes</t>
  </si>
  <si>
    <t>Panel Number</t>
  </si>
  <si>
    <t>Board Number</t>
  </si>
  <si>
    <t>Special Notes…</t>
  </si>
  <si>
    <t>Please make sure your LED strip has the partial part number on the front.</t>
  </si>
  <si>
    <t>The part number is found on a sticker on the front of the board.</t>
  </si>
  <si>
    <t>Part Type Dropdown List</t>
  </si>
  <si>
    <t>Brand Dropdown List</t>
  </si>
  <si>
    <t>Selects between Panel and Board Number</t>
  </si>
  <si>
    <t>Password is:  chopshop</t>
  </si>
  <si>
    <t>How to use…</t>
  </si>
  <si>
    <t>After uploading, click the "Start a new upload batch" Button so you don't duplicate products!!!</t>
  </si>
  <si>
    <t>Version:  Live.03 - PC</t>
  </si>
  <si>
    <t>Vizio</t>
  </si>
  <si>
    <t>Backlight Inverter</t>
  </si>
  <si>
    <t>Bluetooth Module</t>
  </si>
  <si>
    <t>Built In Camera</t>
  </si>
  <si>
    <t>LED Driver</t>
  </si>
  <si>
    <t>LVDS Cable</t>
  </si>
  <si>
    <t>Main Board</t>
  </si>
  <si>
    <t>Stand</t>
  </si>
  <si>
    <t>T-Con Board</t>
  </si>
  <si>
    <t>Remote</t>
  </si>
  <si>
    <t>Panasonic</t>
  </si>
  <si>
    <t>UPC Code</t>
  </si>
  <si>
    <t>SKU</t>
  </si>
  <si>
    <t>Title</t>
  </si>
  <si>
    <t>UPC/EAN/ISBN/GTIN</t>
  </si>
  <si>
    <t>Ebay Condition</t>
  </si>
  <si>
    <t>Smart Type</t>
  </si>
  <si>
    <t>Item Price</t>
  </si>
  <si>
    <t>Package Length (inches)</t>
  </si>
  <si>
    <t>Package Height (inches)</t>
  </si>
  <si>
    <t>Package Width (inches)</t>
  </si>
  <si>
    <t>Package Weight (lbs)</t>
  </si>
  <si>
    <t>Tags</t>
  </si>
  <si>
    <t>Bullet Point1</t>
  </si>
  <si>
    <t>Bullet Point2</t>
  </si>
  <si>
    <t>Bullet Point3</t>
  </si>
  <si>
    <t>Bullet Point4</t>
  </si>
  <si>
    <t>Bullet Point5</t>
  </si>
  <si>
    <t>Description</t>
  </si>
  <si>
    <t>The TV Chop Shop BigCommerce (BigCommerce) Custom Store Primary Category</t>
  </si>
  <si>
    <t>The TV Chop Shop ebay (eBay) Custom Store Primary Category</t>
  </si>
  <si>
    <t>Amazon_Item_Type</t>
  </si>
  <si>
    <t>Amazon_Product_Type</t>
  </si>
  <si>
    <t>Ebay_Category</t>
  </si>
  <si>
    <t>Google_Category</t>
  </si>
  <si>
    <t>Walmart_Product_Type</t>
  </si>
  <si>
    <t>Walmart_Product_Type_V3</t>
  </si>
  <si>
    <t>The TV Chop Shop BigCommerce (BigCommerce) Meta Description</t>
  </si>
  <si>
    <t>The TV Chop Shop BigCommerce (BigCommerce) Meta Keywords</t>
  </si>
  <si>
    <t>The TV Chop Shop BigCommerce (BigCommerce) Meta Title</t>
  </si>
  <si>
    <t>UsedLikeNew</t>
  </si>
  <si>
    <t>Television Replacement Parts</t>
  </si>
  <si>
    <t>Audio Video Remote Controls</t>
  </si>
  <si>
    <t>Television Mounts</t>
  </si>
  <si>
    <t>Television</t>
  </si>
  <si>
    <t>Removed from a working Television with a broken screen</t>
  </si>
  <si>
    <t>Genuine</t>
  </si>
  <si>
    <t>OEM</t>
  </si>
  <si>
    <t xml:space="preserve"> </t>
  </si>
  <si>
    <t>&lt;h1&gt;&lt;strong&gt;Part Info:&lt;/strong&gt;&lt;/h1&gt;&lt;ul&gt;</t>
  </si>
  <si>
    <t>&lt;li&gt;</t>
  </si>
  <si>
    <t>&lt;/li&gt;</t>
  </si>
  <si>
    <t>&lt;/ul&gt;</t>
  </si>
  <si>
    <t>BigCommerce Cat</t>
  </si>
  <si>
    <t>Wi-Fi Module</t>
  </si>
  <si>
    <t>LED Backlight Strip</t>
  </si>
  <si>
    <t>3D Glasses</t>
  </si>
  <si>
    <t>FRC Board</t>
  </si>
  <si>
    <t>One Connect</t>
  </si>
  <si>
    <t>Screws</t>
  </si>
  <si>
    <t>JK Power Input</t>
  </si>
  <si>
    <t>Logic Board</t>
  </si>
  <si>
    <t>FFC Cable</t>
  </si>
  <si>
    <t>AZ PR TYP</t>
  </si>
  <si>
    <t>Ebay Cat</t>
  </si>
  <si>
    <t>GooGl Cat</t>
  </si>
  <si>
    <t>Wal Pr Tp</t>
  </si>
  <si>
    <t>Wal V3</t>
  </si>
  <si>
    <t>az itm typ</t>
  </si>
  <si>
    <t>television-replacement-parts</t>
  </si>
  <si>
    <t>audio-video-remote-controls</t>
  </si>
  <si>
    <t>television-mounts</t>
  </si>
  <si>
    <t>televisions</t>
  </si>
  <si>
    <t>Mpn</t>
  </si>
  <si>
    <t>EasyList ASIN</t>
  </si>
  <si>
    <t>Model Number</t>
  </si>
  <si>
    <t>VLOOKUP FOR SMART TYPE, CATEGORY, PART TYPE, BETWEEN SELLING CHANNELS</t>
  </si>
  <si>
    <t>Partial part number can be found on a sticker on the front of the board.</t>
  </si>
  <si>
    <t>Please be sure the part number and panel number match on the sticker</t>
  </si>
  <si>
    <t>Power Supply</t>
  </si>
  <si>
    <t>AC Adapter</t>
  </si>
  <si>
    <t>Please ensure the part number, model number, panel number, and version number match.  Otherwise this board will not work for you.</t>
  </si>
  <si>
    <t>Part number can be found printed on the front of the board.</t>
  </si>
  <si>
    <t>AC Power Cord</t>
  </si>
  <si>
    <t>New other (see details)</t>
  </si>
  <si>
    <t xml:space="preserve">Television is tested and working.  Come with all accessories shown. </t>
  </si>
  <si>
    <t>Back Cover</t>
  </si>
  <si>
    <t>Button Board</t>
  </si>
  <si>
    <t>IR Sensor</t>
  </si>
  <si>
    <t>Sustain Board</t>
  </si>
  <si>
    <t>Updated: 7-3-2019</t>
  </si>
  <si>
    <t>BN59-01194A</t>
  </si>
  <si>
    <t>682863747911</t>
  </si>
  <si>
    <t>Samsung BN59-01194A, Wi-Fi Module BN59-01194A, ,  Wi-Fi Module</t>
  </si>
  <si>
    <t>Genuine Samsung Wi-Fi Module BN59-01194A</t>
  </si>
  <si>
    <t>&lt;h1&gt;&lt;strong&gt;Part Info:&lt;/strong&gt;&lt;/h1&gt;&lt;ul&gt;&lt;li&gt;Brand : Samsung&lt;/li&gt;&lt;li&gt;Part Type : Wi-Fi Module&lt;/li&gt;&lt;li&gt;Part Number : BN59-01194A&lt;/li&gt;&lt;li&gt;Board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</si>
  <si>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Wi-Fi Module () BN59-01194A TheTVChopShop</t>
  </si>
  <si>
    <t>Samsung BN59-01194A, , Samsung Parts,  Parts, BN59-01194A Wi-Fi Module</t>
  </si>
  <si>
    <t>EBR83592701</t>
  </si>
  <si>
    <t>682863747928</t>
  </si>
  <si>
    <t>LG EBR83592701, Button Board EBR83592701, ,  Button Board</t>
  </si>
  <si>
    <t>Genuine LG Button Board EBR83592701</t>
  </si>
  <si>
    <t>&lt;h1&gt;&lt;strong&gt;Part Info:&lt;/strong&gt;&lt;/h1&gt;&lt;ul&gt;&lt;li&gt;Brand : LG&lt;/li&gt;&lt;li&gt;Part Type : Button Board&lt;/li&gt;&lt;li&gt;Part Number : EBR83592701&lt;/li&gt;&lt;li&gt;Board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</si>
  <si>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LG Button Board () EBR83592701 TheTVChopShop</t>
  </si>
  <si>
    <t>LG EBR83592701, , LG Parts,  Parts, EBR83592701 Button Board</t>
  </si>
  <si>
    <t>682863747935</t>
  </si>
  <si>
    <t>BN96-42259A</t>
  </si>
  <si>
    <t>LG Button Board EBR83592701</t>
  </si>
  <si>
    <t>Samsung Wi-Fi Module BN59-01194A</t>
  </si>
  <si>
    <t>BN96-42259B</t>
  </si>
  <si>
    <t>Samsung BN96-42259A, Button Board BN96-42259A, BN41-02577A,  Button Board</t>
  </si>
  <si>
    <t>Genuine Samsung Button Board BN96-42259A</t>
  </si>
  <si>
    <t>&lt;h1&gt;&lt;strong&gt;Part Info:&lt;/strong&gt;&lt;/h1&gt;&lt;ul&gt;&lt;li&gt;Brand : Samsung&lt;/li&gt;&lt;li&gt;Part Type : Button Board&lt;/li&gt;&lt;li&gt;Part Number : BN96-42259A&lt;/li&gt;&lt;li&gt;Board Number : BN41-02577A&lt;/li&gt;&lt;li&gt;Panel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</si>
  <si>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(BN41-02577A) BN96-42259A TheTVChopShop</t>
  </si>
  <si>
    <t>Samsung BN96-42259A, BN41-02577A, Samsung Parts,  Parts, BN96-42259A Button Board</t>
  </si>
  <si>
    <t>Samsung BN96-42259B, Button Board BN96-42259B, BN41-02577A,  Button Board</t>
  </si>
  <si>
    <t>Genuine Samsung Button Board BN96-42259B</t>
  </si>
  <si>
    <t>&lt;h1&gt;&lt;strong&gt;Part Info:&lt;/strong&gt;&lt;/h1&gt;&lt;ul&gt;&lt;li&gt;Brand : Samsung&lt;/li&gt;&lt;li&gt;Part Type : Button Board&lt;/li&gt;&lt;li&gt;Part Number : BN96-42259B&lt;/li&gt;&lt;li&gt;Board Number : BN41-02577A&lt;/li&gt;&lt;li&gt;Panel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</si>
  <si>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(BN41-02577A) BN96-42259B TheTVChopShop</t>
  </si>
  <si>
    <t>Samsung BN96-42259B, BN41-02577A, Samsung Parts,  Parts, BN96-42259B Button Board</t>
  </si>
  <si>
    <t>Samsung Button Board IR Sensor (BN41-02577A) BN96-42259A</t>
  </si>
  <si>
    <t>Samsung Button Board IR Sensor (BN41-02577A) BN96-42259B</t>
  </si>
  <si>
    <t>EBR81960204</t>
  </si>
  <si>
    <t>682863747942</t>
  </si>
  <si>
    <t>682863747959</t>
  </si>
  <si>
    <t>LG EBR81960204, Button Board EBR81960204, ,  Button Board</t>
  </si>
  <si>
    <t>Genuine LG Button Board EBR81960204</t>
  </si>
  <si>
    <t>&lt;h1&gt;&lt;strong&gt;Part Info:&lt;/strong&gt;&lt;/h1&gt;&lt;ul&gt;&lt;li&gt;Brand : LG&lt;/li&gt;&lt;li&gt;Part Type : Button Board&lt;/li&gt;&lt;li&gt;Part Number : EBR81960204&lt;/li&gt;&lt;li&gt;Board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</si>
  <si>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LG Button Board () EBR81960204 TheTVChopShop</t>
  </si>
  <si>
    <t>LG EBR81960204, , LG Parts,  Parts, EBR81960204 Button Board</t>
  </si>
  <si>
    <t>EBR83592301</t>
  </si>
  <si>
    <t>682863747966</t>
  </si>
  <si>
    <t>LG EBR83592301, Button Board EBR83592301, ,  Button Board</t>
  </si>
  <si>
    <t>Genuine LG Button Board EBR83592301</t>
  </si>
  <si>
    <t>&lt;h1&gt;&lt;strong&gt;Part Info:&lt;/strong&gt;&lt;/h1&gt;&lt;ul&gt;&lt;li&gt;Brand : LG&lt;/li&gt;&lt;li&gt;Part Type : Button Board&lt;/li&gt;&lt;li&gt;Part Number : EBR83592301&lt;/li&gt;&lt;li&gt;Board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</si>
  <si>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LG Button Board () EBR83592301 TheTVChopShop</t>
  </si>
  <si>
    <t>LG EBR83592301, , LG Parts,  Parts, EBR83592301 Button Board</t>
  </si>
  <si>
    <t>BN96-30857C</t>
  </si>
  <si>
    <t>682863747973</t>
  </si>
  <si>
    <t>Samsung Button Board (A30857C) BN96-30857C</t>
  </si>
  <si>
    <t>Samsung BN96-30857C, Button Board BN96-30857C, A30857C,  Button Board</t>
  </si>
  <si>
    <t>Genuine Samsung Button Board BN96-30857C</t>
  </si>
  <si>
    <t>&lt;h1&gt;&lt;strong&gt;Part Info:&lt;/strong&gt;&lt;/h1&gt;&lt;ul&gt;&lt;li&gt;Brand : Samsung&lt;/li&gt;&lt;li&gt;Part Type : Button Board&lt;/li&gt;&lt;li&gt;Part Number : BN96-30857C&lt;/li&gt;&lt;li&gt;Board Number : A30857C&lt;/li&gt;&lt;li&gt;Panel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</si>
  <si>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(A30857C) BN96-30857C TheTVChopShop</t>
  </si>
  <si>
    <t>Samsung BN96-30857C, A30857C, Samsung Parts,  Parts, BN96-30857C Button Board</t>
  </si>
  <si>
    <t>LG Button Board EBR81960204</t>
  </si>
  <si>
    <t>LG Button Board EBR83592301</t>
  </si>
  <si>
    <t>BN96-36076B</t>
  </si>
  <si>
    <t>682863747980</t>
  </si>
  <si>
    <t>Samsung Button Board (BN41-02398A) BN96-36076B</t>
  </si>
  <si>
    <t>Samsung BN96-36076B, Button Board BN96-36076B, BN41-02398A,  Button Board</t>
  </si>
  <si>
    <t>Genuine Samsung Button Board BN96-36076B</t>
  </si>
  <si>
    <t>&lt;h1&gt;&lt;strong&gt;Part Info:&lt;/strong&gt;&lt;/h1&gt;&lt;ul&gt;&lt;li&gt;Brand : Samsung&lt;/li&gt;&lt;li&gt;Part Type : Button Board&lt;/li&gt;&lt;li&gt;Part Number : BN96-36076B&lt;/li&gt;&lt;li&gt;Board Number : BN41-02398A&lt;/li&gt;&lt;li&gt;Panel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</si>
  <si>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(BN41-02398A) BN96-36076B TheTVChopShop</t>
  </si>
  <si>
    <t>Samsung BN96-36076B, BN41-02398A, Samsung Parts,  Parts, BN96-36076B Button Board</t>
  </si>
  <si>
    <t>BN96-36076H</t>
  </si>
  <si>
    <t>682863747997</t>
  </si>
  <si>
    <t>Samsung Button Board (BN41-02398A) BN96-36076H</t>
  </si>
  <si>
    <t>Samsung BN96-36076H, Button Board BN96-36076H, BN41-02398A,  Button Board</t>
  </si>
  <si>
    <t>Genuine Samsung Button Board BN96-36076H</t>
  </si>
  <si>
    <t>&lt;h1&gt;&lt;strong&gt;Part Info:&lt;/strong&gt;&lt;/h1&gt;&lt;ul&gt;&lt;li&gt;Brand : Samsung&lt;/li&gt;&lt;li&gt;Part Type : Button Board&lt;/li&gt;&lt;li&gt;Part Number : BN96-36076H&lt;/li&gt;&lt;li&gt;Board Number : BN41-02398A&lt;/li&gt;&lt;li&gt;Panel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</si>
  <si>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(BN41-02398A) BN96-36076H TheTVChopShop</t>
  </si>
  <si>
    <t>Samsung BN96-36076H, BN41-02398A, Samsung Parts,  Parts, BN96-36076H Button Board</t>
  </si>
  <si>
    <t>BN96-36076E</t>
  </si>
  <si>
    <t>682863748000</t>
  </si>
  <si>
    <t>Samsung Button Board (BN41-02398A) BN96-36076E</t>
  </si>
  <si>
    <t>Samsung BN96-36076E, Button Board BN96-36076E, BN41-02398A,  Button Board</t>
  </si>
  <si>
    <t>Genuine Samsung Button Board BN96-36076E</t>
  </si>
  <si>
    <t>&lt;h1&gt;&lt;strong&gt;Part Info:&lt;/strong&gt;&lt;/h1&gt;&lt;ul&gt;&lt;li&gt;Brand : Samsung&lt;/li&gt;&lt;li&gt;Part Type : Button Board&lt;/li&gt;&lt;li&gt;Part Number : BN96-36076E&lt;/li&gt;&lt;li&gt;Board Number : BN41-02398A&lt;/li&gt;&lt;li&gt;Panel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</si>
  <si>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(BN41-02398A) BN96-36076E TheTVChopShop</t>
  </si>
  <si>
    <t>Samsung BN96-36076E, BN41-02398A, Samsung Parts,  Parts, BN96-36076E Button Board</t>
  </si>
  <si>
    <t>BN96-37286C</t>
  </si>
  <si>
    <t>Samsung Button Board (BN41-02398A) BN96-37286C</t>
  </si>
  <si>
    <t>Samsung BN96-37286C, Button Board BN96-37286C, BN41-02398A,  Button Board</t>
  </si>
  <si>
    <t>Genuine Samsung Button Board BN96-37286C</t>
  </si>
  <si>
    <t>&lt;h1&gt;&lt;strong&gt;Part Info:&lt;/strong&gt;&lt;/h1&gt;&lt;ul&gt;&lt;li&gt;Brand : Samsung&lt;/li&gt;&lt;li&gt;Part Type : Button Board&lt;/li&gt;&lt;li&gt;Part Number : BN96-37286C&lt;/li&gt;&lt;li&gt;Board Number : BN41-02398A&lt;/li&gt;&lt;li&gt;Panel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</si>
  <si>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(BN41-02398A) BN96-37286C TheTVChopShop</t>
  </si>
  <si>
    <t>Samsung BN96-37286C, BN41-02398A, Samsung Parts,  Parts, BN96-37286C Button Board</t>
  </si>
  <si>
    <t>682863748017</t>
  </si>
  <si>
    <t>682863748024</t>
  </si>
  <si>
    <t>39955A</t>
  </si>
  <si>
    <t>Samsung 39955A, Button Board 39955A, ,  Button Board</t>
  </si>
  <si>
    <t>Genuine Samsung Button Board 39955A</t>
  </si>
  <si>
    <t>&lt;h1&gt;&lt;strong&gt;Part Info:&lt;/strong&gt;&lt;/h1&gt;&lt;ul&gt;&lt;li&gt;Brand : Samsung&lt;/li&gt;&lt;li&gt;Part Type : Button Board&lt;/li&gt;&lt;li&gt;Part Number : 39955A&lt;/li&gt;&lt;li&gt;Board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</si>
  <si>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() 39955A TheTVChopShop</t>
  </si>
  <si>
    <t>Samsung 39955A, , Samsung Parts,  Parts, 39955A Button Board</t>
  </si>
  <si>
    <t>DLED3955CG</t>
  </si>
  <si>
    <t>682863748031</t>
  </si>
  <si>
    <t>Proscan DLED3955CG, Button Board DLED3955CG, ,  Button Board</t>
  </si>
  <si>
    <t>Genuine Proscan Button Board DLED3955CG</t>
  </si>
  <si>
    <t>&lt;h1&gt;&lt;strong&gt;Part Info:&lt;/strong&gt;&lt;/h1&gt;&lt;ul&gt;&lt;li&gt;Brand : Proscan&lt;/li&gt;&lt;li&gt;Part Type : Button Board&lt;/li&gt;&lt;li&gt;Part Number : DLED3955CG&lt;/li&gt;&lt;li&gt;Board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</si>
  <si>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Proscan Button Board () DLED3955CG TheTVChopShop</t>
  </si>
  <si>
    <t>Proscan DLED3955CG, , Proscan Parts,  Parts, DLED3955CG Button Board</t>
  </si>
  <si>
    <t>BN96-39802C</t>
  </si>
  <si>
    <t>682863748048</t>
  </si>
  <si>
    <t>Samsung BN96-39802C, Button Board BN96-39802C, ,  Button Board</t>
  </si>
  <si>
    <t>Genuine Samsung Button Board BN96-39802C</t>
  </si>
  <si>
    <t>&lt;h1&gt;&lt;strong&gt;Part Info:&lt;/strong&gt;&lt;/h1&gt;&lt;ul&gt;&lt;li&gt;Brand : Samsung&lt;/li&gt;&lt;li&gt;Part Type : Button Board&lt;/li&gt;&lt;li&gt;Part Number : BN96-39802C&lt;/li&gt;&lt;li&gt;Board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</si>
  <si>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() BN96-39802C TheTVChopShop</t>
  </si>
  <si>
    <t>Samsung BN96-39802C, , Samsung Parts,  Parts, BN96-39802C Button Board</t>
  </si>
  <si>
    <t>1P-1159801-1010</t>
  </si>
  <si>
    <t>682863748055</t>
  </si>
  <si>
    <t>Vizio 1P-1159801-1010, Button Board 1P-1159801-1010, ,  Button Board</t>
  </si>
  <si>
    <t>Genuine Vizio Button Board 1P-1159801-1010</t>
  </si>
  <si>
    <t>&lt;h1&gt;&lt;strong&gt;Part Info:&lt;/strong&gt;&lt;/h1&gt;&lt;ul&gt;&lt;li&gt;Brand : Vizio&lt;/li&gt;&lt;li&gt;Part Type : Button Board&lt;/li&gt;&lt;li&gt;Part Number : 1P-1159801-1010&lt;/li&gt;&lt;li&gt;Board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</si>
  <si>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Vizio Button Board () 1P-1159801-1010 TheTVChopShop</t>
  </si>
  <si>
    <t>Vizio 1P-1159801-1010, , Vizio Parts,  Parts, 1P-1159801-1010 Button Board</t>
  </si>
  <si>
    <t>40-50D27A-KEA2LG</t>
  </si>
  <si>
    <t>682863748062</t>
  </si>
  <si>
    <t>TCL 40-50D27A-KEA2LG, Button Board 40-50D27A-KEA2LG, ,  Button Board</t>
  </si>
  <si>
    <t>Genuine TCL Button Board 40-50D27A-KEA2LG</t>
  </si>
  <si>
    <t>&lt;h1&gt;&lt;strong&gt;Part Info:&lt;/strong&gt;&lt;/h1&gt;&lt;ul&gt;&lt;li&gt;Brand : TCL&lt;/li&gt;&lt;li&gt;Part Type : Button Board&lt;/li&gt;&lt;li&gt;Part Number : 40-50D27A-KEA2LG&lt;/li&gt;&lt;li&gt;Board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</si>
  <si>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TCL Button Board () 40-50D27A-KEA2LG TheTVChopShop</t>
  </si>
  <si>
    <t>TCL 40-50D27A-KEA2LG, , TCL Parts,  Parts, 40-50D27A-KEA2LG Button Board</t>
  </si>
  <si>
    <t>40-48D27A-KEA2LG</t>
  </si>
  <si>
    <t>682863748086</t>
  </si>
  <si>
    <t>TCL 40-48D27A-KEA2LG, Button Board 40-48D27A-KEA2LG, ,  Button Board</t>
  </si>
  <si>
    <t>Genuine TCL Button Board 40-48D27A-KEA2LG</t>
  </si>
  <si>
    <t>&lt;h1&gt;&lt;strong&gt;Part Info:&lt;/strong&gt;&lt;/h1&gt;&lt;ul&gt;&lt;li&gt;Brand : TCL&lt;/li&gt;&lt;li&gt;Part Type : Button Board&lt;/li&gt;&lt;li&gt;Part Number : 40-48D27A-KEA2LG&lt;/li&gt;&lt;li&gt;Board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</si>
  <si>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TCL Button Board () 40-48D27A-KEA2LG TheTVChopShop</t>
  </si>
  <si>
    <t>TCL 40-48D27A-KEA2LG, , TCL Parts,  Parts, 40-48D27A-KEA2LG Button Board</t>
  </si>
  <si>
    <t>40-43D140-KEA2LG</t>
  </si>
  <si>
    <t>682863748093</t>
  </si>
  <si>
    <t>TCL 40-43D140-KEA2LG, Button Board 40-43D140-KEA2LG, ,  Button Board</t>
  </si>
  <si>
    <t>Genuine TCL Button Board 40-43D140-KEA2LG</t>
  </si>
  <si>
    <t>&lt;h1&gt;&lt;strong&gt;Part Info:&lt;/strong&gt;&lt;/h1&gt;&lt;ul&gt;&lt;li&gt;Brand : TCL&lt;/li&gt;&lt;li&gt;Part Type : Button Board&lt;/li&gt;&lt;li&gt;Part Number : 40-43D140-KEA2LG&lt;/li&gt;&lt;li&gt;Board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</si>
  <si>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TCL Button Board () 40-43D140-KEA2LG TheTVChopShop</t>
  </si>
  <si>
    <t>TCL 40-43D140-KEA2LG, , TCL Parts,  Parts, 40-43D140-KEA2LG Button Board</t>
  </si>
  <si>
    <t>BBN96-38694B</t>
  </si>
  <si>
    <t>Samsung Button Board (BN-4102477A) BBN96-38694B</t>
  </si>
  <si>
    <t>Samsung BBN96-38694B, Button Board BBN96-38694B, BN-4102477A,  Button Board</t>
  </si>
  <si>
    <t>Genuine Samsung Button Board BBN96-38694B</t>
  </si>
  <si>
    <t>&lt;h1&gt;&lt;strong&gt;Part Info:&lt;/strong&gt;&lt;/h1&gt;&lt;ul&gt;&lt;li&gt;Brand : Samsung&lt;/li&gt;&lt;li&gt;Part Type : Button Board&lt;/li&gt;&lt;li&gt;Part Number : BBN96-38694B&lt;/li&gt;&lt;li&gt;Board Number : BN-4102477A&lt;/li&gt;&lt;li&gt;Panel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</si>
  <si>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(BN-4102477A) BBN96-38694B TheTVChopShop</t>
  </si>
  <si>
    <t>Samsung BBN96-38694B, BN-4102477A, Samsung Parts,  Parts, BBN96-38694B Button Board</t>
  </si>
  <si>
    <t>682863748109</t>
  </si>
  <si>
    <t>BBN96-38694C</t>
  </si>
  <si>
    <t>BBN96-38694D</t>
  </si>
  <si>
    <t>682863748116</t>
  </si>
  <si>
    <t>Samsung Button Board (BN-4102477A) BBN96-38694C</t>
  </si>
  <si>
    <t>Samsung BBN96-38694C, Button Board BBN96-38694C, BN-4102477A,  Button Board</t>
  </si>
  <si>
    <t>Genuine Samsung Button Board BBN96-38694C</t>
  </si>
  <si>
    <t>&lt;h1&gt;&lt;strong&gt;Part Info:&lt;/strong&gt;&lt;/h1&gt;&lt;ul&gt;&lt;li&gt;Brand : Samsung&lt;/li&gt;&lt;li&gt;Part Type : Button Board&lt;/li&gt;&lt;li&gt;Part Number : BBN96-38694C&lt;/li&gt;&lt;li&gt;Board Number : BN-4102477A&lt;/li&gt;&lt;li&gt;Panel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</si>
  <si>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(BN-4102477A) BBN96-38694C TheTVChopShop</t>
  </si>
  <si>
    <t>Samsung BBN96-38694C, BN-4102477A, Samsung Parts,  Parts, BBN96-38694C Button Board</t>
  </si>
  <si>
    <t>682863748123</t>
  </si>
  <si>
    <t>Samsung Button Board (BN-4102477A) BBN96-38694D</t>
  </si>
  <si>
    <t>Samsung BBN96-38694D, Button Board BBN96-38694D, BN-4102477A,  Button Board</t>
  </si>
  <si>
    <t>Genuine Samsung Button Board BBN96-38694D</t>
  </si>
  <si>
    <t>&lt;h1&gt;&lt;strong&gt;Part Info:&lt;/strong&gt;&lt;/h1&gt;&lt;ul&gt;&lt;li&gt;Brand : Samsung&lt;/li&gt;&lt;li&gt;Part Type : Button Board&lt;/li&gt;&lt;li&gt;Part Number : BBN96-38694D&lt;/li&gt;&lt;li&gt;Board Number : BN-4102477A&lt;/li&gt;&lt;li&gt;Panel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</si>
  <si>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(BN-4102477A) BBN96-38694D TheTVChopShop</t>
  </si>
  <si>
    <t>Samsung BBN96-38694D, BN-4102477A, Samsung Parts,  Parts, BBN96-38694D Button Board</t>
  </si>
  <si>
    <t>682863748130</t>
  </si>
  <si>
    <t>BBN96-38694E</t>
  </si>
  <si>
    <t>Samsung Button Board (BN-4102477A) BBN96-38694E</t>
  </si>
  <si>
    <t>Samsung BBN96-38694E, Button Board BBN96-38694E, BN-4102477A,  Button Board</t>
  </si>
  <si>
    <t>Genuine Samsung Button Board BBN96-38694E</t>
  </si>
  <si>
    <t>&lt;h1&gt;&lt;strong&gt;Part Info:&lt;/strong&gt;&lt;/h1&gt;&lt;ul&gt;&lt;li&gt;Brand : Samsung&lt;/li&gt;&lt;li&gt;Part Type : Button Board&lt;/li&gt;&lt;li&gt;Part Number : BBN96-38694E&lt;/li&gt;&lt;li&gt;Board Number : BN-4102477A&lt;/li&gt;&lt;li&gt;Panel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</si>
  <si>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(BN-4102477A) BBN96-38694E TheTVChopShop</t>
  </si>
  <si>
    <t>Samsung BBN96-38694E, BN-4102477A, Samsung Parts,  Parts, BBN96-38694E Button Board</t>
  </si>
  <si>
    <t>BN96-30902J</t>
  </si>
  <si>
    <t>682863748147</t>
  </si>
  <si>
    <t>Samsung BN96-30902J, Button Board BN96-30902J, BN59-01174A/D,  Button Board</t>
  </si>
  <si>
    <t>Genuine Samsung Button Board BN96-30902J</t>
  </si>
  <si>
    <t>&lt;h1&gt;&lt;strong&gt;Part Info:&lt;/strong&gt;&lt;/h1&gt;&lt;ul&gt;&lt;li&gt;Brand : Samsung&lt;/li&gt;&lt;li&gt;Part Type : Button Board&lt;/li&gt;&lt;li&gt;Part Number : BN96-30902J&lt;/li&gt;&lt;li&gt;Board Number : BN59-01174A/D&lt;/li&gt;&lt;li&gt;Panel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</si>
  <si>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(BN59-01174A/D) BN96-30902J TheTVChopShop</t>
  </si>
  <si>
    <t>Samsung BN96-30902J, BN59-01174A/D, Samsung Parts,  Parts, BN96-30902J Button Board</t>
  </si>
  <si>
    <t>Samsung Button Board / IR sensor / WIFI board (BN59-01174A/D) BN96-30902J</t>
  </si>
  <si>
    <t>Samsung Button Board 39955A</t>
  </si>
  <si>
    <t>Proscan Button Board DLED3955CG</t>
  </si>
  <si>
    <t>Samsung Button Board BN96-39802C</t>
  </si>
  <si>
    <t>Vizio Button Board 1P-1159801-1010</t>
  </si>
  <si>
    <t>TCL Button Board 40-50D27A-KEA2LG</t>
  </si>
  <si>
    <t>TCL Button Board 40-48D27A-KEA2LG</t>
  </si>
  <si>
    <t>TCL Button Board 40-43D140-KEA2LG</t>
  </si>
  <si>
    <t>BN96-30902X</t>
  </si>
  <si>
    <t>682863748154</t>
  </si>
  <si>
    <t>Samsung BN96-30902X, Button Board BN96-30902X, BN59-01174A/D,  Button Board</t>
  </si>
  <si>
    <t>Genuine Samsung Button Board BN96-30902X</t>
  </si>
  <si>
    <t>&lt;h1&gt;&lt;strong&gt;Part Info:&lt;/strong&gt;&lt;/h1&gt;&lt;ul&gt;&lt;li&gt;Brand : Samsung&lt;/li&gt;&lt;li&gt;Part Type : Button Board&lt;/li&gt;&lt;li&gt;Part Number : BN96-30902X&lt;/li&gt;&lt;li&gt;Board Number : BN59-01174A/D&lt;/li&gt;&lt;li&gt;Panel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</si>
  <si>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(BN59-01174A/D) BN96-30902X TheTVChopShop</t>
  </si>
  <si>
    <t>Samsung BN96-30902X, BN59-01174A/D, Samsung Parts,  Parts, BN96-30902X Button Board</t>
  </si>
  <si>
    <t>Samsung Button Board / IR sensor / WIFI board (BN59-01174A/D) BN96-30902X</t>
  </si>
  <si>
    <t>682863748161</t>
  </si>
  <si>
    <t>BN96-38131A</t>
  </si>
  <si>
    <t>682863748178</t>
  </si>
  <si>
    <t>Samsung BN96-38131A, Button Board BN96-38131A, BN59-01174D,  Button Board</t>
  </si>
  <si>
    <t>Genuine Samsung Button Board BN96-38131A</t>
  </si>
  <si>
    <t>&lt;h1&gt;&lt;strong&gt;Part Info:&lt;/strong&gt;&lt;/h1&gt;&lt;ul&gt;&lt;li&gt;Brand : Samsung&lt;/li&gt;&lt;li&gt;Part Type : Button Board&lt;/li&gt;&lt;li&gt;Part Number : BN96-38131A&lt;/li&gt;&lt;li&gt;Board Number : BN59-01174D&lt;/li&gt;&lt;li&gt;Panel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</si>
  <si>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(BN59-01174D) BN96-38131A TheTVChopShop</t>
  </si>
  <si>
    <t>Samsung BN96-38131A, BN59-01174D, Samsung Parts,  Parts, BN96-38131A Button Board</t>
  </si>
  <si>
    <t>Samsung Button Board / IR sensor / WIFI board (BN59-01174D) BN96-38131A</t>
  </si>
  <si>
    <t>BN96-32137A</t>
  </si>
  <si>
    <t>Samsung BN96-32137A, Button Board BN96-32137A, BN41-02149A,  Button Board</t>
  </si>
  <si>
    <t>Genuine Samsung Button Board BN96-32137A</t>
  </si>
  <si>
    <t>&lt;h1&gt;&lt;strong&gt;Part Info:&lt;/strong&gt;&lt;/h1&gt;&lt;ul&gt;&lt;li&gt;Brand : Samsung&lt;/li&gt;&lt;li&gt;Part Type : Button Board&lt;/li&gt;&lt;li&gt;Part Number : BN96-32137A&lt;/li&gt;&lt;li&gt;Board Number : BN41-02149A&lt;/li&gt;&lt;li&gt;Panel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</si>
  <si>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(BN41-02149A) BN96-32137A TheTVChopShop</t>
  </si>
  <si>
    <t>Samsung BN96-32137A, BN41-02149A, Samsung Parts,  Parts, BN96-32137A Button Board</t>
  </si>
  <si>
    <t>Samsung Button Board / IR Sensor (BN41-02149A) BN96-32137A</t>
  </si>
  <si>
    <t>AY1R5MSW</t>
  </si>
  <si>
    <t>682863748185</t>
  </si>
  <si>
    <t>Philips Button Board (BAY1RRG0203 1_2  ) AY1R5MSW</t>
  </si>
  <si>
    <t>Philips AY1R5MSW, Button Board AY1R5MSW, BAY1RRG0203 1_2  ,  Button Board</t>
  </si>
  <si>
    <t>Genuine Philips Button Board AY1R5MSW</t>
  </si>
  <si>
    <t>&lt;h1&gt;&lt;strong&gt;Part Info:&lt;/strong&gt;&lt;/h1&gt;&lt;ul&gt;&lt;li&gt;Brand : Philips&lt;/li&gt;&lt;li&gt;Part Type : Button Board&lt;/li&gt;&lt;li&gt;Part Number : AY1R5MSW&lt;/li&gt;&lt;li&gt;Board Number : BAY1RRG0203 1_2  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</si>
  <si>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Philips Button Board (BAY1RRG0203 1_2  ) AY1R5MSW TheTVChopShop</t>
  </si>
  <si>
    <t>Philips AY1R5MSW, BAY1RRG0203 1_2  , Philips Parts,  Parts, AY1R5MSW Button Board</t>
  </si>
  <si>
    <t>682863748192</t>
  </si>
  <si>
    <t>BN59-02399A</t>
  </si>
  <si>
    <t>Samsung BN59-02399A, Button Board BN59-02399A, ,  Button Board</t>
  </si>
  <si>
    <t>Genuine Samsung Button Board BN59-02399A</t>
  </si>
  <si>
    <t>&lt;h1&gt;&lt;strong&gt;Part Info:&lt;/strong&gt;&lt;/h1&gt;&lt;ul&gt;&lt;li&gt;Brand : Samsung&lt;/li&gt;&lt;li&gt;Part Type : Button Board&lt;/li&gt;&lt;li&gt;Part Number : BN59-02399A&lt;/li&gt;&lt;li&gt;Board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</si>
  <si>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() BN59-02399A TheTVChopShop</t>
  </si>
  <si>
    <t>Samsung BN59-02399A, , Samsung Parts,  Parts, BN59-02399A Button Board</t>
  </si>
  <si>
    <t>Samsung Button Board BN59-02399A</t>
  </si>
  <si>
    <t>682863748208</t>
  </si>
  <si>
    <t>Samsung BN96-30857C, Button Board BN96-30857C, ,  Button Board</t>
  </si>
  <si>
    <t>&lt;h1&gt;&lt;strong&gt;Part Info:&lt;/strong&gt;&lt;/h1&gt;&lt;ul&gt;&lt;li&gt;Brand : Samsung&lt;/li&gt;&lt;li&gt;Part Type : Button Board&lt;/li&gt;&lt;li&gt;Part Number : BN96-30857C&lt;/li&gt;&lt;li&gt;Board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t>
  </si>
  <si>
    <t>Samsung Button Board () BN96-30857C TheTVChopShop</t>
  </si>
  <si>
    <t>Samsung BN96-30857C, , Samsung Parts,  Parts, BN96-30857C Button Board</t>
  </si>
  <si>
    <t>Samsung Button Board BN96-30857C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</si>
</sst>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rgb="FF92D05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34">
    <xf numFmtId="0" fontId="0" fillId="0" borderId="0" xfId="0"/>
    <xf numFmtId="0" fontId="2" fillId="3" borderId="0" xfId="2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49" fontId="0" fillId="0" borderId="0" xfId="0" applyNumberFormat="1"/>
    <xf numFmtId="0" fontId="8" fillId="0" borderId="0" xfId="0" applyFont="1"/>
    <xf numFmtId="0" fontId="10" fillId="0" borderId="0" xfId="0" applyFont="1"/>
    <xf numFmtId="0" fontId="6" fillId="0" borderId="0" xfId="0" quotePrefix="1" applyFont="1"/>
    <xf numFmtId="0" fontId="9" fillId="0" borderId="0" xfId="0" applyFont="1" applyAlignment="1">
      <alignment horizontal="center" vertical="center" textRotation="180"/>
    </xf>
    <xf numFmtId="0" fontId="7" fillId="0" borderId="0" xfId="0" applyFont="1" applyAlignment="1">
      <alignment horizontal="left"/>
    </xf>
    <xf numFmtId="49" fontId="7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11" fillId="0" borderId="0" xfId="0" applyFont="1"/>
    <xf numFmtId="0" fontId="12" fillId="6" borderId="0" xfId="0" applyFont="1" applyFill="1"/>
    <xf numFmtId="0" fontId="6" fillId="6" borderId="0" xfId="0" applyFont="1" applyFill="1"/>
    <xf numFmtId="0" fontId="13" fillId="0" borderId="0" xfId="0" applyFont="1"/>
    <xf numFmtId="0" fontId="14" fillId="0" borderId="0" xfId="0" applyFont="1"/>
    <xf numFmtId="0" fontId="3" fillId="5" borderId="0" xfId="3" applyFill="1" applyProtection="1">
      <protection locked="0"/>
    </xf>
    <xf numFmtId="0" fontId="1" fillId="2" borderId="0" xfId="1" applyProtection="1">
      <protection locked="0"/>
    </xf>
    <xf numFmtId="164" fontId="1" fillId="2" borderId="0" xfId="1" applyNumberFormat="1" applyProtection="1">
      <protection locked="0"/>
    </xf>
    <xf numFmtId="0" fontId="1" fillId="5" borderId="0" xfId="1" applyFill="1" applyProtection="1">
      <protection locked="0"/>
    </xf>
    <xf numFmtId="0" fontId="1" fillId="2" borderId="0" xfId="1" applyAlignment="1">
      <alignment wrapText="1"/>
    </xf>
    <xf numFmtId="0" fontId="3" fillId="5" borderId="0" xfId="3" applyFill="1" applyAlignment="1" applyProtection="1">
      <alignment wrapText="1"/>
      <protection locked="0"/>
    </xf>
    <xf numFmtId="49" fontId="3" fillId="4" borderId="1" xfId="3" applyNumberFormat="1" applyBorder="1" applyAlignment="1" applyProtection="1">
      <alignment wrapText="1"/>
      <protection locked="0"/>
    </xf>
    <xf numFmtId="49" fontId="1" fillId="2" borderId="0" xfId="1" applyNumberFormat="1" applyProtection="1">
      <protection locked="0"/>
    </xf>
    <xf numFmtId="49" fontId="15" fillId="4" borderId="0" xfId="3" applyNumberFormat="1" applyFont="1" applyAlignment="1" applyProtection="1">
      <alignment wrapText="1"/>
      <protection locked="0"/>
    </xf>
    <xf numFmtId="0" fontId="1" fillId="2" borderId="0" xfId="1" applyAlignment="1">
      <alignment horizontal="left" wrapText="1"/>
    </xf>
    <xf numFmtId="49" fontId="6" fillId="0" borderId="0" xfId="0" applyNumberFormat="1" applyFont="1" applyAlignment="1">
      <alignment horizontal="left"/>
    </xf>
    <xf numFmtId="49" fontId="6" fillId="0" borderId="0" xfId="0" applyNumberFormat="1" applyFont="1"/>
    <xf numFmtId="0" fontId="9" fillId="0" borderId="0" xfId="0" applyFont="1" applyAlignment="1">
      <alignment horizontal="center" vertical="center" textRotation="180"/>
    </xf>
    <xf numFmtId="0" fontId="6" fillId="0" borderId="0" xfId="0" applyFont="1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</xdr:row>
          <xdr:rowOff>114300</xdr:rowOff>
        </xdr:from>
        <xdr:to>
          <xdr:col>3</xdr:col>
          <xdr:colOff>2209800</xdr:colOff>
          <xdr:row>6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76200</xdr:rowOff>
        </xdr:from>
        <xdr:to>
          <xdr:col>3</xdr:col>
          <xdr:colOff>2200275</xdr:colOff>
          <xdr:row>2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Product to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2276475</xdr:colOff>
          <xdr:row>3</xdr:row>
          <xdr:rowOff>114300</xdr:rowOff>
        </xdr:from>
        <xdr:to>
          <xdr:col>4</xdr:col>
          <xdr:colOff>2085975</xdr:colOff>
          <xdr:row>6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Upload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2266950</xdr:colOff>
          <xdr:row>0</xdr:row>
          <xdr:rowOff>66675</xdr:rowOff>
        </xdr:from>
        <xdr:to>
          <xdr:col>4</xdr:col>
          <xdr:colOff>2047875</xdr:colOff>
          <xdr:row>2</xdr:row>
          <xdr:rowOff>161925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Upload Batch To Desktop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933450</xdr:colOff>
          <xdr:row>1</xdr:row>
          <xdr:rowOff>57150</xdr:rowOff>
        </xdr:from>
        <xdr:to>
          <xdr:col>8</xdr:col>
          <xdr:colOff>866775</xdr:colOff>
          <xdr:row>5</xdr:row>
          <xdr:rowOff>142875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B481"/>
  <sheetViews>
    <sheetView zoomScale="90" zoomScaleNormal="90" workbookViewId="0">
      <selection activeCell="B1" sqref="B1"/>
    </sheetView>
  </sheetViews>
  <sheetFormatPr defaultColWidth="15.7109375" defaultRowHeight="15" x14ac:dyDescent="0.25"/>
  <cols>
    <col min="1" max="1" width="21.140625" customWidth="1"/>
    <col min="2" max="2" width="77.28515625" customWidth="1"/>
    <col min="3" max="3" width="21.7109375" customWidth="1"/>
    <col min="4" max="4" width="33.28515625" customWidth="1"/>
    <col min="5" max="5" width="43.140625" customWidth="1"/>
    <col min="9" max="9" width="19" customWidth="1"/>
    <col min="10" max="10" width="12.7109375" customWidth="1"/>
    <col min="11" max="11" width="10.140625" customWidth="1"/>
    <col min="12" max="13" width="8.85546875" customWidth="1"/>
    <col min="14" max="14" width="115.140625" customWidth="1"/>
    <col min="15" max="15" width="53.85546875" customWidth="1"/>
    <col min="16" max="16" width="36.85546875" customWidth="1"/>
    <col min="17" max="17" width="41.28515625" customWidth="1"/>
    <col min="18" max="18" width="35.85546875" customWidth="1"/>
    <col min="19" max="19" width="55.42578125" customWidth="1"/>
    <col min="20" max="20" width="91.42578125" customWidth="1"/>
    <col min="26" max="26" width="61.28515625" style="2" customWidth="1"/>
    <col min="29" max="29" width="76.7109375" customWidth="1"/>
    <col min="30" max="30" width="80" customWidth="1"/>
    <col min="31" max="31" width="45.140625" customWidth="1"/>
    <col min="41" max="41" width="46.85546875" customWidth="1"/>
    <col min="80" max="80" width="63.85546875" customWidth="1"/>
  </cols>
  <sheetData>
    <row r="1" spans="1:6" x14ac:dyDescent="0.25">
      <c r="A1" s="1" t="s">
        <v>1</v>
      </c>
      <c r="B1" s="20" t="s">
        <v>37</v>
      </c>
      <c r="C1" s="32">
        <v>4</v>
      </c>
    </row>
    <row r="2" spans="1:6" x14ac:dyDescent="0.25">
      <c r="A2" s="1" t="s">
        <v>2</v>
      </c>
      <c r="B2" s="20" t="s">
        <v>162</v>
      </c>
      <c r="C2" s="32"/>
      <c r="F2" t="s">
        <v>71</v>
      </c>
    </row>
    <row r="3" spans="1:6" x14ac:dyDescent="0.25">
      <c r="A3" s="1" t="s">
        <v>63</v>
      </c>
      <c r="B3" s="21"/>
      <c r="C3" s="32"/>
      <c r="F3" t="s">
        <v>165</v>
      </c>
    </row>
    <row r="4" spans="1:6" x14ac:dyDescent="0.25">
      <c r="A4" s="1" t="s">
        <v>64</v>
      </c>
      <c r="B4" s="27"/>
      <c r="C4" s="32"/>
      <c r="F4" t="s">
        <v>74</v>
      </c>
    </row>
    <row r="5" spans="1:6" x14ac:dyDescent="0.25">
      <c r="A5" s="1" t="s">
        <v>3</v>
      </c>
      <c r="B5" s="27" t="s">
        <v>212</v>
      </c>
      <c r="C5" s="32"/>
    </row>
    <row r="6" spans="1:6" x14ac:dyDescent="0.25">
      <c r="A6" s="1" t="s">
        <v>0</v>
      </c>
      <c r="B6" s="22">
        <v>7.95</v>
      </c>
      <c r="C6" s="32"/>
    </row>
    <row r="7" spans="1:6" x14ac:dyDescent="0.25">
      <c r="A7" s="1" t="s">
        <v>4</v>
      </c>
      <c r="B7" s="21">
        <v>0.5</v>
      </c>
      <c r="C7" s="32"/>
    </row>
    <row r="8" spans="1:6" x14ac:dyDescent="0.25">
      <c r="A8" s="1" t="s">
        <v>5</v>
      </c>
      <c r="B8" s="21">
        <v>1</v>
      </c>
      <c r="C8" s="32"/>
      <c r="D8" s="3" t="s">
        <v>72</v>
      </c>
      <c r="E8" s="3"/>
      <c r="F8" s="3"/>
    </row>
    <row r="9" spans="1:6" x14ac:dyDescent="0.25">
      <c r="A9" s="1" t="s">
        <v>6</v>
      </c>
      <c r="B9" s="21">
        <v>3</v>
      </c>
      <c r="C9" s="32"/>
    </row>
    <row r="10" spans="1:6" x14ac:dyDescent="0.25">
      <c r="A10" s="1" t="s">
        <v>7</v>
      </c>
      <c r="B10" s="21">
        <v>1</v>
      </c>
      <c r="C10" s="32"/>
    </row>
    <row r="11" spans="1:6" x14ac:dyDescent="0.25">
      <c r="A11" s="1" t="s">
        <v>8</v>
      </c>
      <c r="B11" s="23" t="s">
        <v>159</v>
      </c>
      <c r="C11" s="32"/>
    </row>
    <row r="12" spans="1:6" x14ac:dyDescent="0.25">
      <c r="A12" s="1" t="s">
        <v>91</v>
      </c>
      <c r="B12" s="23" t="s">
        <v>116</v>
      </c>
      <c r="C12" s="32"/>
    </row>
    <row r="13" spans="1:6" x14ac:dyDescent="0.25">
      <c r="A13" s="1" t="s">
        <v>51</v>
      </c>
      <c r="B13" s="29"/>
      <c r="C13" s="32"/>
    </row>
    <row r="14" spans="1:6" x14ac:dyDescent="0.25">
      <c r="A14" s="1" t="s">
        <v>52</v>
      </c>
      <c r="B14" s="24"/>
      <c r="C14" s="32"/>
      <c r="D14" s="3"/>
      <c r="E14" s="3"/>
      <c r="F14" s="3"/>
    </row>
    <row r="15" spans="1:6" x14ac:dyDescent="0.25">
      <c r="A15" s="1" t="s">
        <v>53</v>
      </c>
      <c r="B15" s="24"/>
      <c r="C15" s="32"/>
    </row>
    <row r="16" spans="1:6" x14ac:dyDescent="0.25">
      <c r="A16" s="1" t="s">
        <v>54</v>
      </c>
      <c r="B16" s="24"/>
      <c r="C16" s="32"/>
    </row>
    <row r="17" spans="1:106" x14ac:dyDescent="0.25">
      <c r="A17" s="1" t="s">
        <v>55</v>
      </c>
      <c r="B17" s="24"/>
      <c r="C17" s="32"/>
    </row>
    <row r="18" spans="1:106" x14ac:dyDescent="0.25">
      <c r="A18" s="1" t="s">
        <v>56</v>
      </c>
      <c r="B18" s="24"/>
      <c r="C18" s="32"/>
    </row>
    <row r="19" spans="1:106" x14ac:dyDescent="0.25">
      <c r="A19" s="1" t="s">
        <v>57</v>
      </c>
      <c r="B19" s="24"/>
      <c r="C19" s="32"/>
    </row>
    <row r="20" spans="1:106" x14ac:dyDescent="0.25">
      <c r="A20" s="1" t="s">
        <v>59</v>
      </c>
      <c r="B20" s="24"/>
      <c r="C20" s="32"/>
    </row>
    <row r="21" spans="1:106" x14ac:dyDescent="0.25">
      <c r="A21" s="1" t="s">
        <v>58</v>
      </c>
      <c r="B21" s="24"/>
      <c r="C21" s="32"/>
    </row>
    <row r="22" spans="1:106" x14ac:dyDescent="0.25">
      <c r="A22" s="1" t="s">
        <v>60</v>
      </c>
      <c r="B22" s="24"/>
      <c r="C22" s="32"/>
    </row>
    <row r="23" spans="1:106" ht="15.75" customHeight="1" x14ac:dyDescent="0.25">
      <c r="A23" s="1" t="s">
        <v>62</v>
      </c>
      <c r="B23" s="25" t="s">
        <v>67</v>
      </c>
      <c r="C23" s="32"/>
      <c r="D23" s="4" t="s">
        <v>73</v>
      </c>
      <c r="E23" s="4"/>
      <c r="F23" s="4"/>
    </row>
    <row r="24" spans="1:106" s="5" customFormat="1" x14ac:dyDescent="0.25">
      <c r="A24" s="1" t="s">
        <v>86</v>
      </c>
      <c r="B24" s="28" t="s">
        <v>390</v>
      </c>
      <c r="C24" s="32"/>
    </row>
    <row r="25" spans="1:106" s="5" customFormat="1" x14ac:dyDescent="0.25">
      <c r="A25" s="1" t="s">
        <v>149</v>
      </c>
      <c r="B25" s="26"/>
      <c r="C25" s="10"/>
    </row>
    <row r="26" spans="1:106" s="8" customFormat="1" x14ac:dyDescent="0.25">
      <c r="A26" s="8" t="s">
        <v>87</v>
      </c>
      <c r="B26" s="8" t="s">
        <v>88</v>
      </c>
      <c r="C26" s="8" t="s">
        <v>89</v>
      </c>
      <c r="D26" s="8" t="s">
        <v>90</v>
      </c>
      <c r="E26" s="8" t="s">
        <v>8</v>
      </c>
      <c r="F26" s="8" t="s">
        <v>91</v>
      </c>
      <c r="G26" s="8" t="s">
        <v>92</v>
      </c>
      <c r="H26" s="8" t="s">
        <v>93</v>
      </c>
      <c r="I26" s="8" t="s">
        <v>94</v>
      </c>
      <c r="J26" s="8" t="s">
        <v>95</v>
      </c>
      <c r="K26" s="8" t="s">
        <v>96</v>
      </c>
      <c r="L26" s="8" t="s">
        <v>97</v>
      </c>
      <c r="M26" s="8" t="s">
        <v>98</v>
      </c>
      <c r="N26" s="8" t="s">
        <v>99</v>
      </c>
      <c r="O26" s="8" t="s">
        <v>100</v>
      </c>
      <c r="P26" s="8" t="s">
        <v>101</v>
      </c>
      <c r="Q26" s="8" t="s">
        <v>102</v>
      </c>
      <c r="R26" s="8" t="s">
        <v>103</v>
      </c>
      <c r="S26" s="8" t="s">
        <v>104</v>
      </c>
      <c r="T26" s="8" t="s">
        <v>105</v>
      </c>
      <c r="U26" s="8" t="s">
        <v>106</v>
      </c>
      <c r="V26" s="8" t="s">
        <v>107</v>
      </c>
      <c r="W26" s="8" t="s">
        <v>108</v>
      </c>
      <c r="X26" s="8" t="s">
        <v>109</v>
      </c>
      <c r="Y26" s="8" t="s">
        <v>110</v>
      </c>
      <c r="Z26" s="8" t="s">
        <v>111</v>
      </c>
      <c r="AA26" s="8" t="s">
        <v>112</v>
      </c>
      <c r="AB26" s="8" t="s">
        <v>113</v>
      </c>
      <c r="AC26" s="8" t="s">
        <v>114</v>
      </c>
      <c r="AD26" s="8" t="s">
        <v>148</v>
      </c>
      <c r="AE26" s="8" t="s">
        <v>1</v>
      </c>
      <c r="AF26" s="8" t="s">
        <v>149</v>
      </c>
      <c r="AG26" s="8" t="s">
        <v>150</v>
      </c>
    </row>
    <row r="27" spans="1:106" s="11" customFormat="1" x14ac:dyDescent="0.25">
      <c r="A27" s="12" t="str">
        <f>B5</f>
        <v>BN96-30857C</v>
      </c>
      <c r="B27" s="11" t="str">
        <f>B1&amp;""&amp;B13&amp;" "&amp;B2&amp;" ("&amp;B4&amp;") "&amp;B5&amp;""</f>
        <v>Samsung Button Board () BN96-30857C</v>
      </c>
      <c r="C27" s="12" t="str">
        <f>B24</f>
        <v>682863748208</v>
      </c>
      <c r="D27" s="11" t="str">
        <f>B11</f>
        <v>New other (see details)</v>
      </c>
      <c r="E27" s="11" t="str">
        <f>IF(D27="Used",F44,IF(D27="New",F45,IF(D27="New other (see details)",F45)))</f>
        <v>New</v>
      </c>
      <c r="F27" s="11" t="str">
        <f>B12</f>
        <v>Television Replacement Parts</v>
      </c>
      <c r="G27" s="14">
        <f>B6</f>
        <v>7.95</v>
      </c>
      <c r="H27" s="11">
        <f>B8</f>
        <v>1</v>
      </c>
      <c r="I27" s="11">
        <f>B9</f>
        <v>3</v>
      </c>
      <c r="J27" s="11">
        <f>B10</f>
        <v>1</v>
      </c>
      <c r="K27" s="11">
        <f>B7</f>
        <v>0.5</v>
      </c>
      <c r="L27" s="11" t="str">
        <f>B1&amp;" "&amp;B5&amp;", "&amp;B2&amp;" "&amp;B5&amp;", "&amp;B4&amp;", "&amp;B13&amp;" "&amp;B2&amp;""</f>
        <v>Samsung BN96-30857C, Button Board BN96-30857C, ,  Button Board</v>
      </c>
      <c r="M27" s="11" t="s">
        <v>120</v>
      </c>
      <c r="N27" s="11" t="str">
        <f>P45&amp;" "&amp;B1&amp;" "&amp;B2&amp;" "&amp;B5&amp;""</f>
        <v>Genuine Samsung Button Board BN96-30857C</v>
      </c>
      <c r="O27" s="11" t="str">
        <f>IF(B3="",Q33,Q32)</f>
        <v xml:space="preserve"> </v>
      </c>
      <c r="R27" s="11" t="str">
        <f>T32&amp;""&amp;T47&amp;""&amp;T48&amp;""&amp;T50&amp;""&amp;T49&amp;""&amp;U47&amp;""&amp;U48&amp;""&amp;T36&amp;""&amp;T35&amp;""</f>
        <v>&lt;h1&gt;&lt;strong&gt;Part Info:&lt;/strong&gt;&lt;/h1&gt;&lt;ul&gt;&lt;li&gt;Brand : Samsung&lt;/li&gt;&lt;li&gt;Part Type : Button Board&lt;/li&gt;&lt;li&gt;Part Number : BN96-30857C&lt;/li&gt;&lt;li&gt;Board Number : &lt;/li&gt;&lt;li&gt;Panel Number : &lt;/li&gt;&lt;li&gt;TV Model 1 : &lt;/li&gt;&lt;li&gt;Important Notes : The part number is found on a sticker on the front of the board..  Tamper Proof Stickers have been added to parts, no refund/exchange/return will be accepted if sticker is missing/damaged.&lt;/li&gt;&lt;/ul&gt;</v>
      </c>
      <c r="S27" s="11">
        <f>VLOOKUP(B2,B34:C59,2)</f>
        <v>5403</v>
      </c>
      <c r="U27" s="11" t="str">
        <f>VLOOKUP(B12,D54:J58,7,FALSE)</f>
        <v>television-replacement-parts</v>
      </c>
      <c r="V27" s="11">
        <f>VLOOKUP(B12,D54:J58,2,FALSE)</f>
        <v>713</v>
      </c>
      <c r="W27" s="11">
        <f>VLOOKUP(B12,D54:J58,3,FALSE)</f>
        <v>163768</v>
      </c>
      <c r="X27" s="11">
        <f>VLOOKUP(B12,D54:J58,4,FALSE)</f>
        <v>8516</v>
      </c>
      <c r="Y27" s="11">
        <f>VLOOKUP(B12,D54:J58,5,FALSE)</f>
        <v>30</v>
      </c>
      <c r="Z27" s="11">
        <f>VLOOKUP(B12,D54:J58,6,FALSE)</f>
        <v>35</v>
      </c>
      <c r="AA27" s="11" t="str">
        <f>B27&amp;" TheTVChopShop"</f>
        <v>Samsung Button Board () BN96-30857C TheTVChopShop</v>
      </c>
      <c r="AB27" s="11" t="str">
        <f>B1&amp;" "&amp;B5&amp;", "&amp;B4&amp;", "&amp;B1&amp;" Parts, "&amp;B13&amp;" Parts, "&amp;B5&amp;" "&amp;B2&amp;""</f>
        <v>Samsung BN96-30857C, , Samsung Parts,  Parts, BN96-30857C Button Board</v>
      </c>
      <c r="AC27" s="11" t="str">
        <f>AA27</f>
        <v>Samsung Button Board () BN96-30857C TheTVChopShop</v>
      </c>
      <c r="AD27" s="11" t="str">
        <f>B5</f>
        <v>BN96-30857C</v>
      </c>
      <c r="AE27" s="11" t="str">
        <f>B1</f>
        <v>Samsung</v>
      </c>
      <c r="AF27" s="12">
        <f>B25</f>
        <v>0</v>
      </c>
      <c r="AG27" s="11">
        <f>B13</f>
        <v>0</v>
      </c>
      <c r="CO27" s="13"/>
    </row>
    <row r="28" spans="1:106" s="7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Y28" s="5"/>
      <c r="CZ28" s="5"/>
      <c r="DA28" s="5"/>
      <c r="DB28" s="5"/>
    </row>
    <row r="29" spans="1:106" s="7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Y29" s="5"/>
      <c r="CZ29" s="5"/>
      <c r="DA29" s="5"/>
      <c r="DB29" s="5"/>
    </row>
    <row r="30" spans="1:106" s="7" customFormat="1" x14ac:dyDescent="0.25">
      <c r="A30" s="5"/>
      <c r="B30" s="5"/>
      <c r="C30" s="5"/>
      <c r="D30" s="15"/>
      <c r="E30"/>
      <c r="F30" s="15"/>
      <c r="G30" s="15"/>
      <c r="H30" s="15"/>
      <c r="I30" s="1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Y30" s="5"/>
      <c r="CZ30" s="5"/>
      <c r="DA30" s="5"/>
      <c r="DB30" s="5"/>
    </row>
    <row r="31" spans="1:106" s="7" customFormat="1" x14ac:dyDescent="0.25">
      <c r="A31" s="16" t="s">
        <v>69</v>
      </c>
      <c r="D31" s="15"/>
      <c r="E31"/>
      <c r="F31" s="15"/>
      <c r="G31" s="15"/>
      <c r="H31" s="15"/>
      <c r="I31" s="15" t="s">
        <v>70</v>
      </c>
      <c r="J31" s="5"/>
      <c r="K31" s="5"/>
      <c r="L31" s="5"/>
      <c r="M31" s="5" t="s">
        <v>65</v>
      </c>
      <c r="N31" s="5"/>
      <c r="O31" s="5"/>
      <c r="P31" s="9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Y31" s="5"/>
      <c r="CZ31" s="5"/>
      <c r="DA31" s="5"/>
      <c r="DB31" s="5"/>
    </row>
    <row r="32" spans="1:106" s="7" customFormat="1" x14ac:dyDescent="0.25">
      <c r="A32" s="17"/>
      <c r="D32" s="15"/>
      <c r="E32"/>
      <c r="F32" s="15"/>
      <c r="G32" s="15"/>
      <c r="H32" s="15"/>
      <c r="I32" s="15" t="str">
        <f>IF(B3="","",IF(B4="","","BOTH"))</f>
        <v/>
      </c>
      <c r="J32" s="5"/>
      <c r="K32" s="5"/>
      <c r="L32" s="5"/>
      <c r="M32" s="5" t="s">
        <v>66</v>
      </c>
      <c r="N32" s="5"/>
      <c r="O32" s="5"/>
      <c r="P32" s="9"/>
      <c r="Q32" s="5" t="str">
        <f>A3&amp;" "&amp;B3&amp;".  Panel Numbers are especially important for Main Boards and T-Con Boards, Be sure to double check yours matches."</f>
        <v>Panel Number .  Panel Numbers are especially important for Main Boards and T-Con Boards, Be sure to double check yours matches.</v>
      </c>
      <c r="R32" s="5"/>
      <c r="S32" s="5"/>
      <c r="T32" s="5" t="s">
        <v>124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Y32" s="5"/>
      <c r="CZ32" s="5"/>
      <c r="DA32" s="5"/>
      <c r="DB32" s="5"/>
    </row>
    <row r="33" spans="1:106" s="7" customFormat="1" x14ac:dyDescent="0.25">
      <c r="A33" s="17" t="s">
        <v>10</v>
      </c>
      <c r="B33" s="18" t="s">
        <v>68</v>
      </c>
      <c r="C33" s="18" t="s">
        <v>128</v>
      </c>
      <c r="D33" s="15"/>
      <c r="E33" t="str">
        <f t="shared" ref="E33:E41" si="0">IF(B14="","",D33)</f>
        <v/>
      </c>
      <c r="F33" s="15"/>
      <c r="G33" s="15"/>
      <c r="H33" s="15" t="s">
        <v>9</v>
      </c>
      <c r="I33" s="15" t="str">
        <f>IF(I32=""," ",I39)</f>
        <v xml:space="preserve"> </v>
      </c>
      <c r="J33" s="5"/>
      <c r="K33" s="5"/>
      <c r="L33" s="5"/>
      <c r="M33" s="5" t="s">
        <v>67</v>
      </c>
      <c r="N33" s="5" t="str">
        <f t="shared" ref="N33:N41" si="1">IF(B14="","",L33)</f>
        <v/>
      </c>
      <c r="O33" s="5"/>
      <c r="P33" s="9"/>
      <c r="Q33" s="5" t="s">
        <v>123</v>
      </c>
      <c r="R33" s="5"/>
      <c r="S33" s="5"/>
      <c r="T33" s="5" t="s">
        <v>125</v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Y33" s="5"/>
      <c r="CZ33" s="5"/>
      <c r="DA33" s="5"/>
      <c r="DB33" s="5"/>
    </row>
    <row r="34" spans="1:106" s="7" customFormat="1" x14ac:dyDescent="0.25">
      <c r="A34" s="17" t="s">
        <v>11</v>
      </c>
      <c r="B34" s="31" t="s">
        <v>158</v>
      </c>
      <c r="C34" s="30">
        <v>1389</v>
      </c>
      <c r="D34" s="15"/>
      <c r="E34" t="str">
        <f t="shared" si="0"/>
        <v/>
      </c>
      <c r="F34" s="15"/>
      <c r="G34" s="15"/>
      <c r="H34" s="15" t="s">
        <v>61</v>
      </c>
      <c r="I34" s="15" t="str">
        <f>" ("&amp;I32&amp;") "</f>
        <v xml:space="preserve"> () </v>
      </c>
      <c r="J34" s="5"/>
      <c r="K34" s="5"/>
      <c r="L34" s="5"/>
      <c r="M34" s="5" t="s">
        <v>152</v>
      </c>
      <c r="N34" s="5" t="str">
        <f t="shared" si="1"/>
        <v/>
      </c>
      <c r="O34" s="5"/>
      <c r="P34" s="9"/>
      <c r="Q34" s="5"/>
      <c r="R34" s="5"/>
      <c r="S34" s="5"/>
      <c r="T34" s="5" t="s">
        <v>126</v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Y34" s="5"/>
      <c r="CZ34" s="5"/>
      <c r="DA34" s="5"/>
      <c r="DB34" s="5"/>
    </row>
    <row r="35" spans="1:106" s="7" customFormat="1" x14ac:dyDescent="0.25">
      <c r="A35" s="17" t="s">
        <v>12</v>
      </c>
      <c r="B35" s="31" t="s">
        <v>131</v>
      </c>
      <c r="C35" s="30">
        <v>2147</v>
      </c>
      <c r="D35" s="15"/>
      <c r="E35" t="str">
        <f t="shared" si="0"/>
        <v/>
      </c>
      <c r="F35" s="15"/>
      <c r="G35" s="15"/>
      <c r="H35" s="15" t="s">
        <v>159</v>
      </c>
      <c r="I35" s="15"/>
      <c r="J35" s="5"/>
      <c r="K35" s="5"/>
      <c r="L35" s="5"/>
      <c r="M35" s="5" t="s">
        <v>153</v>
      </c>
      <c r="N35" s="5" t="str">
        <f t="shared" si="1"/>
        <v/>
      </c>
      <c r="O35" s="5"/>
      <c r="P35" s="9"/>
      <c r="Q35" s="5"/>
      <c r="R35" s="5"/>
      <c r="S35" s="5"/>
      <c r="T35" s="5" t="s">
        <v>127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Y35" s="5"/>
      <c r="CZ35" s="5"/>
      <c r="DA35" s="5"/>
      <c r="DB35" s="5"/>
    </row>
    <row r="36" spans="1:106" s="7" customFormat="1" x14ac:dyDescent="0.25">
      <c r="A36" s="17" t="s">
        <v>13</v>
      </c>
      <c r="B36" s="31" t="s">
        <v>155</v>
      </c>
      <c r="C36" s="30">
        <v>3271</v>
      </c>
      <c r="D36" s="15"/>
      <c r="E36" t="str">
        <f t="shared" si="0"/>
        <v/>
      </c>
      <c r="F36" s="15"/>
      <c r="G36" s="15" t="str">
        <f>IF(F32="","",G32)</f>
        <v/>
      </c>
      <c r="H36" s="15"/>
      <c r="I36" s="15"/>
      <c r="J36" s="5"/>
      <c r="K36" s="5"/>
      <c r="L36" s="5"/>
      <c r="M36" s="5" t="s">
        <v>156</v>
      </c>
      <c r="N36" s="5" t="str">
        <f t="shared" si="1"/>
        <v/>
      </c>
      <c r="O36" s="5"/>
      <c r="P36" s="9"/>
      <c r="Q36" s="5" t="str">
        <f>B33</f>
        <v>Part Type Dropdown List</v>
      </c>
      <c r="R36" s="5"/>
      <c r="S36" s="5"/>
      <c r="T36" s="5" t="str">
        <f>T33&amp;""&amp;A23&amp;" : "&amp;B23&amp;".  Tamper Proof Stickers have been added to parts, no refund/exchange/return will be accepted if sticker is missing/damaged."&amp;T34&amp;""</f>
        <v>&lt;li&gt;Important Notes : The part number is found on a sticker on the front of the board..  Tamper Proof Stickers have been added to parts, no refund/exchange/return will be accepted if sticker is missing/damaged.&lt;/li&gt;</v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Y36" s="5"/>
      <c r="CZ36" s="5"/>
      <c r="DA36" s="5"/>
      <c r="DB36" s="5"/>
    </row>
    <row r="37" spans="1:106" s="7" customFormat="1" x14ac:dyDescent="0.25">
      <c r="A37" s="17" t="s">
        <v>14</v>
      </c>
      <c r="B37" s="31" t="s">
        <v>161</v>
      </c>
      <c r="C37" s="30">
        <v>129</v>
      </c>
      <c r="D37" s="15"/>
      <c r="E37" t="str">
        <f t="shared" si="0"/>
        <v/>
      </c>
      <c r="F37" s="15"/>
      <c r="G37" s="15" t="str">
        <f>IF(F33="","",G33)</f>
        <v/>
      </c>
      <c r="H37" s="15"/>
      <c r="I37" s="15" t="str">
        <f>IF(B2="Stand"," ",IF(B2="Remote"," ",IF(I32="BOTH",I39,I38)))</f>
        <v xml:space="preserve"> () </v>
      </c>
      <c r="J37" s="5"/>
      <c r="K37" s="5"/>
      <c r="L37" s="5"/>
      <c r="M37" s="5" t="s">
        <v>157</v>
      </c>
      <c r="N37" s="5" t="str">
        <f t="shared" si="1"/>
        <v/>
      </c>
      <c r="O37" s="5"/>
      <c r="P37" s="9"/>
      <c r="Q37" s="5"/>
      <c r="R37" s="5"/>
      <c r="S37" s="5" t="s">
        <v>123</v>
      </c>
      <c r="T37" s="5" t="str">
        <f t="shared" ref="T37:T46" si="2">IF(B13="", "",B13)</f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Y37" s="5"/>
      <c r="CZ37" s="5"/>
      <c r="DA37" s="5"/>
      <c r="DB37" s="5"/>
    </row>
    <row r="38" spans="1:106" s="7" customFormat="1" x14ac:dyDescent="0.25">
      <c r="A38" s="17" t="s">
        <v>15</v>
      </c>
      <c r="B38" s="31" t="s">
        <v>76</v>
      </c>
      <c r="C38" s="30">
        <v>131</v>
      </c>
      <c r="D38" s="15"/>
      <c r="E38" t="str">
        <f t="shared" si="0"/>
        <v/>
      </c>
      <c r="F38" s="15"/>
      <c r="G38" s="15"/>
      <c r="H38" s="15"/>
      <c r="I38" s="15" t="str">
        <f>IF(B3="",I41,IF(B4="",I40,""))</f>
        <v xml:space="preserve"> () </v>
      </c>
      <c r="J38" s="5"/>
      <c r="K38" s="5"/>
      <c r="L38" s="5"/>
      <c r="M38" s="5" t="s">
        <v>160</v>
      </c>
      <c r="N38" s="5" t="str">
        <f t="shared" si="1"/>
        <v/>
      </c>
      <c r="O38" s="5"/>
      <c r="P38" s="9"/>
      <c r="Q38" s="5"/>
      <c r="R38" s="5"/>
      <c r="S38" s="5"/>
      <c r="T38" s="5" t="str">
        <f t="shared" si="2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Y38" s="5"/>
      <c r="CZ38" s="5"/>
      <c r="DA38" s="5"/>
      <c r="DB38" s="5"/>
    </row>
    <row r="39" spans="1:106" s="7" customFormat="1" x14ac:dyDescent="0.25">
      <c r="A39" s="17" t="s">
        <v>16</v>
      </c>
      <c r="B39" s="31" t="s">
        <v>77</v>
      </c>
      <c r="C39" s="30">
        <v>150</v>
      </c>
      <c r="D39" s="15"/>
      <c r="E39" t="str">
        <f t="shared" si="0"/>
        <v/>
      </c>
      <c r="F39" s="15"/>
      <c r="G39" s="15"/>
      <c r="H39" s="15"/>
      <c r="I39" s="15" t="str">
        <f>" ("&amp;B3&amp;", "&amp;B4&amp;") "</f>
        <v xml:space="preserve"> (, ) </v>
      </c>
      <c r="J39" s="5"/>
      <c r="K39" s="5"/>
      <c r="L39" s="5"/>
      <c r="M39" s="5"/>
      <c r="N39" s="5" t="str">
        <f t="shared" si="1"/>
        <v/>
      </c>
      <c r="O39" s="5"/>
      <c r="P39" s="9"/>
      <c r="Q39" s="5"/>
      <c r="R39" s="5"/>
      <c r="S39" s="5"/>
      <c r="T39" s="5" t="str">
        <f t="shared" si="2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Y39" s="5"/>
      <c r="CZ39" s="5"/>
      <c r="DA39" s="5"/>
      <c r="DB39" s="5"/>
    </row>
    <row r="40" spans="1:106" s="7" customFormat="1" x14ac:dyDescent="0.25">
      <c r="A40" s="17" t="s">
        <v>17</v>
      </c>
      <c r="B40" s="31" t="s">
        <v>162</v>
      </c>
      <c r="C40" s="31">
        <v>5403</v>
      </c>
      <c r="D40" s="15"/>
      <c r="E40" t="str">
        <f t="shared" si="0"/>
        <v/>
      </c>
      <c r="F40" s="15"/>
      <c r="G40" s="15"/>
      <c r="H40" s="15"/>
      <c r="I40" s="15" t="str">
        <f>" ("&amp;B3&amp;") "</f>
        <v xml:space="preserve"> () </v>
      </c>
      <c r="J40" s="5"/>
      <c r="K40" s="5"/>
      <c r="L40" s="5"/>
      <c r="M40" s="5"/>
      <c r="N40" s="5" t="str">
        <f t="shared" si="1"/>
        <v/>
      </c>
      <c r="O40" s="5"/>
      <c r="P40" s="9"/>
      <c r="Q40" s="5"/>
      <c r="R40" s="5"/>
      <c r="S40" s="5"/>
      <c r="T40" s="5" t="str">
        <f t="shared" si="2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Y40" s="5"/>
      <c r="CZ40" s="5"/>
      <c r="DA40" s="5"/>
      <c r="DB40" s="5"/>
    </row>
    <row r="41" spans="1:106" s="7" customFormat="1" x14ac:dyDescent="0.25">
      <c r="A41" s="17" t="s">
        <v>18</v>
      </c>
      <c r="B41" s="31" t="s">
        <v>78</v>
      </c>
      <c r="C41" s="30">
        <v>2013</v>
      </c>
      <c r="D41" s="15"/>
      <c r="E41" t="str">
        <f t="shared" si="0"/>
        <v/>
      </c>
      <c r="F41" s="15"/>
      <c r="G41" s="15"/>
      <c r="H41" s="15"/>
      <c r="I41" s="15" t="str">
        <f>" ("&amp;B4&amp;") "</f>
        <v xml:space="preserve"> () </v>
      </c>
      <c r="J41" s="5"/>
      <c r="K41" s="5"/>
      <c r="L41" s="5"/>
      <c r="M41" s="5"/>
      <c r="N41" s="5" t="str">
        <f t="shared" si="1"/>
        <v/>
      </c>
      <c r="O41" s="5"/>
      <c r="P41" s="9"/>
      <c r="Q41" s="5"/>
      <c r="R41" s="5"/>
      <c r="S41" s="5"/>
      <c r="T41" s="5" t="str">
        <f t="shared" si="2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Y41" s="5"/>
      <c r="CZ41" s="5"/>
      <c r="DA41" s="5"/>
      <c r="DB41" s="5"/>
    </row>
    <row r="42" spans="1:106" s="7" customFormat="1" x14ac:dyDescent="0.25">
      <c r="A42" s="17" t="s">
        <v>19</v>
      </c>
      <c r="B42" s="31" t="s">
        <v>137</v>
      </c>
      <c r="C42" s="30">
        <v>4548</v>
      </c>
      <c r="D42" s="15"/>
      <c r="E42"/>
      <c r="F42" s="15"/>
      <c r="G42" s="15"/>
      <c r="H42" s="15"/>
      <c r="I42" s="15"/>
      <c r="J42" s="5"/>
      <c r="K42" s="5"/>
      <c r="L42" s="5"/>
      <c r="M42" s="5"/>
      <c r="N42" s="5"/>
      <c r="O42" s="5"/>
      <c r="P42" s="5"/>
      <c r="Q42" s="5"/>
      <c r="R42" s="5"/>
      <c r="S42" s="5"/>
      <c r="T42" s="5" t="str">
        <f t="shared" si="2"/>
        <v/>
      </c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s="7" customFormat="1" x14ac:dyDescent="0.25">
      <c r="A43" s="17" t="s">
        <v>20</v>
      </c>
      <c r="B43" s="31" t="s">
        <v>132</v>
      </c>
      <c r="C43" s="30">
        <v>1852</v>
      </c>
      <c r="D43" s="15"/>
      <c r="E43" s="15"/>
      <c r="F43" s="15"/>
      <c r="G43" s="15"/>
      <c r="H43" s="15"/>
      <c r="I43" s="15"/>
      <c r="J43" s="5"/>
      <c r="K43" s="5"/>
      <c r="L43" s="5"/>
      <c r="M43" s="5"/>
      <c r="N43" s="5"/>
      <c r="O43" s="5"/>
      <c r="P43" s="5"/>
      <c r="Q43" s="5"/>
      <c r="R43" s="5"/>
      <c r="S43" s="5"/>
      <c r="T43" s="5" t="str">
        <f t="shared" si="2"/>
        <v/>
      </c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s="7" customFormat="1" x14ac:dyDescent="0.25">
      <c r="A44" s="17" t="s">
        <v>21</v>
      </c>
      <c r="B44" s="31" t="s">
        <v>163</v>
      </c>
      <c r="C44" s="31">
        <v>5403</v>
      </c>
      <c r="D44" s="15"/>
      <c r="E44" s="15" t="str">
        <f>IF(B11="New","NEW",IF(B11="Used","USED",IF(B11="Refurbished","REF","")))</f>
        <v/>
      </c>
      <c r="F44" s="15" t="s">
        <v>115</v>
      </c>
      <c r="G44" s="15"/>
      <c r="H44" s="15"/>
      <c r="I44" s="15"/>
      <c r="J44" s="5"/>
      <c r="K44" s="5"/>
      <c r="L44" s="5"/>
      <c r="M44" s="5"/>
      <c r="N44" s="5"/>
      <c r="O44" s="5"/>
      <c r="P44" s="5"/>
      <c r="Q44" s="5"/>
      <c r="R44" s="5"/>
      <c r="S44" s="5"/>
      <c r="T44" s="5" t="str">
        <f t="shared" si="2"/>
        <v/>
      </c>
      <c r="U44" s="5" t="str">
        <f>T33&amp;""&amp;B23&amp;""&amp;T36&amp;""&amp;T35&amp;""</f>
        <v>&lt;li&gt;The part number is found on a sticker on the front of the board.&lt;li&gt;Important Notes : The part number is found on a sticker on the front of the board..  Tamper Proof Stickers have been added to parts, no refund/exchange/return will be accepted if sticker is missing/damaged.&lt;/li&gt;&lt;/ul&gt;</v>
      </c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s="7" customFormat="1" x14ac:dyDescent="0.25">
      <c r="A45" s="17" t="s">
        <v>22</v>
      </c>
      <c r="B45" s="31" t="s">
        <v>135</v>
      </c>
      <c r="C45" s="30">
        <v>5153</v>
      </c>
      <c r="D45" s="15"/>
      <c r="E45" s="15"/>
      <c r="F45" s="15" t="s">
        <v>9</v>
      </c>
      <c r="G45" s="15"/>
      <c r="H45" s="15"/>
      <c r="I45" s="15"/>
      <c r="J45" s="5"/>
      <c r="K45" s="5"/>
      <c r="L45" s="5"/>
      <c r="M45" s="5"/>
      <c r="N45" s="5"/>
      <c r="O45" s="5"/>
      <c r="P45" s="5" t="s">
        <v>121</v>
      </c>
      <c r="Q45" s="5"/>
      <c r="R45" s="5"/>
      <c r="S45" s="5"/>
      <c r="T45" s="5" t="str">
        <f t="shared" si="2"/>
        <v/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s="7" customFormat="1" x14ac:dyDescent="0.25">
      <c r="A46" s="17" t="s">
        <v>23</v>
      </c>
      <c r="B46" s="31" t="s">
        <v>130</v>
      </c>
      <c r="C46" s="30">
        <v>839</v>
      </c>
      <c r="D46" s="15"/>
      <c r="E46" s="15"/>
      <c r="F46" s="15"/>
      <c r="G46" s="15"/>
      <c r="H46" s="15"/>
      <c r="I46" s="15"/>
      <c r="J46" s="5"/>
      <c r="K46" s="5"/>
      <c r="L46" s="5"/>
      <c r="M46" s="5"/>
      <c r="N46" s="5"/>
      <c r="O46" s="5"/>
      <c r="P46" s="5" t="s">
        <v>122</v>
      </c>
      <c r="Q46" s="5"/>
      <c r="R46" s="5"/>
      <c r="S46" s="5"/>
      <c r="T46" s="5" t="str">
        <f t="shared" si="2"/>
        <v/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s="7" customFormat="1" x14ac:dyDescent="0.25">
      <c r="A47" s="17" t="s">
        <v>24</v>
      </c>
      <c r="B47" s="31" t="s">
        <v>79</v>
      </c>
      <c r="C47" s="30">
        <v>133</v>
      </c>
      <c r="D47" s="15"/>
      <c r="E47" s="15"/>
      <c r="F47" s="15"/>
      <c r="G47" s="15"/>
      <c r="H47" s="15"/>
      <c r="I47" s="15"/>
      <c r="J47" s="5"/>
      <c r="K47" s="5"/>
      <c r="L47" s="5"/>
      <c r="M47" s="5"/>
      <c r="N47" s="5"/>
      <c r="O47" s="5"/>
      <c r="P47" s="5"/>
      <c r="Q47" s="5"/>
      <c r="R47" s="5"/>
      <c r="S47" s="5"/>
      <c r="T47" s="5" t="str">
        <f>T33&amp;""&amp;A1&amp;" : "&amp;B1&amp;""&amp;T34&amp;""</f>
        <v>&lt;li&gt;Brand : Samsung&lt;/li&gt;</v>
      </c>
      <c r="U47" s="5" t="str">
        <f>T33&amp;""&amp;A3&amp;" : "&amp;B3&amp;""&amp;T34&amp;""</f>
        <v>&lt;li&gt;Panel Number : &lt;/li&gt;</v>
      </c>
      <c r="V47" s="5"/>
      <c r="W47" s="5"/>
      <c r="X47" s="5"/>
      <c r="Y47" s="5"/>
      <c r="Z47" s="5"/>
      <c r="AA47" s="33" t="s">
        <v>151</v>
      </c>
      <c r="AB47" s="33"/>
      <c r="AC47" s="33"/>
      <c r="AD47" s="33"/>
      <c r="AE47" s="33"/>
      <c r="AF47" s="33"/>
      <c r="AG47" s="33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s="7" customFormat="1" x14ac:dyDescent="0.25">
      <c r="A48" s="17" t="s">
        <v>28</v>
      </c>
      <c r="B48" s="31" t="s">
        <v>136</v>
      </c>
      <c r="C48" s="30">
        <v>434</v>
      </c>
      <c r="D48" s="15"/>
      <c r="E48" s="15"/>
      <c r="F48" s="15"/>
      <c r="G48" s="15"/>
      <c r="H48" s="15"/>
      <c r="I48" s="15"/>
      <c r="J48" s="5"/>
      <c r="K48" s="5"/>
      <c r="L48" s="5"/>
      <c r="M48" s="5"/>
      <c r="N48" s="5"/>
      <c r="O48" s="5"/>
      <c r="P48" s="5"/>
      <c r="Q48" s="5"/>
      <c r="R48" s="5"/>
      <c r="S48" s="5"/>
      <c r="T48" s="5" t="str">
        <f>T33&amp;""&amp;A2&amp;" : "&amp;B2&amp;""&amp;T34&amp;""</f>
        <v>&lt;li&gt;Part Type : Button Board&lt;/li&gt;</v>
      </c>
      <c r="U48" s="5" t="str">
        <f>T33&amp;""&amp;A13&amp;" : "&amp;T62&amp;""&amp;T34&amp;""</f>
        <v>&lt;li&gt;TV Model 1 : &lt;/li&gt;</v>
      </c>
      <c r="V48" s="5"/>
      <c r="W48" s="5"/>
      <c r="X48" s="5"/>
      <c r="Y48" s="5"/>
      <c r="Z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s="7" customFormat="1" x14ac:dyDescent="0.25">
      <c r="A49" s="17" t="s">
        <v>25</v>
      </c>
      <c r="B49" s="31" t="s">
        <v>80</v>
      </c>
      <c r="C49" s="30">
        <v>153</v>
      </c>
      <c r="D49" s="15"/>
      <c r="E49" s="15"/>
      <c r="F49" s="15" t="str">
        <f>IF(B2="Remote","",IF(B2&lt;&gt;"",(B13&amp;" "),""))</f>
        <v xml:space="preserve"> </v>
      </c>
      <c r="G49" s="15"/>
      <c r="H49" s="15"/>
      <c r="I49" s="15"/>
      <c r="J49" s="5"/>
      <c r="K49" s="5"/>
      <c r="L49" s="5"/>
      <c r="M49" s="5"/>
      <c r="N49" s="5"/>
      <c r="O49" s="5"/>
      <c r="P49" s="5"/>
      <c r="Q49" s="5"/>
      <c r="R49" s="5"/>
      <c r="S49" s="5"/>
      <c r="T49" s="5" t="str">
        <f>T33&amp;""&amp;A4&amp;" : "&amp;B4&amp;""&amp;T34&amp;""</f>
        <v>&lt;li&gt;Board Number : &lt;/li&gt;</v>
      </c>
      <c r="U49" s="5"/>
      <c r="V49" s="5"/>
      <c r="W49" s="5"/>
      <c r="X49" s="5"/>
      <c r="Y49" s="5"/>
      <c r="Z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s="7" customFormat="1" x14ac:dyDescent="0.25">
      <c r="A50" s="17" t="s">
        <v>26</v>
      </c>
      <c r="B50" s="31" t="s">
        <v>81</v>
      </c>
      <c r="C50" s="30">
        <v>125</v>
      </c>
      <c r="D50" s="15"/>
      <c r="E50" s="15"/>
      <c r="F50" s="15"/>
      <c r="G50" s="15"/>
      <c r="H50" s="15"/>
      <c r="I50" s="15"/>
      <c r="J50" s="5"/>
      <c r="K50" s="5"/>
      <c r="L50" s="5"/>
      <c r="M50" s="5"/>
      <c r="N50" s="5"/>
      <c r="O50" s="5"/>
      <c r="P50" s="5"/>
      <c r="Q50" s="5"/>
      <c r="R50" s="5"/>
      <c r="S50" s="5"/>
      <c r="T50" s="5" t="str">
        <f>T33&amp;""&amp;A5&amp;" : "&amp;B5&amp;""&amp;T34&amp;""</f>
        <v>&lt;li&gt;Part Number : BN96-30857C&lt;/li&gt;</v>
      </c>
      <c r="U50" s="5"/>
      <c r="V50" s="5"/>
      <c r="W50" s="5"/>
      <c r="X50" s="5"/>
      <c r="Y50" s="5"/>
      <c r="Z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s="7" customFormat="1" x14ac:dyDescent="0.25">
      <c r="A51" s="17" t="s">
        <v>27</v>
      </c>
      <c r="B51" s="31" t="s">
        <v>133</v>
      </c>
      <c r="C51" s="30">
        <v>3725</v>
      </c>
      <c r="D51" s="15"/>
      <c r="E51" s="15"/>
      <c r="F51" s="15"/>
      <c r="G51" s="15"/>
      <c r="H51" s="15"/>
      <c r="I51" s="15"/>
      <c r="J51" s="5"/>
      <c r="K51" s="5"/>
      <c r="L51" s="5"/>
      <c r="M51" s="5"/>
      <c r="N51" s="5"/>
      <c r="O51" s="5"/>
      <c r="P51" s="5"/>
      <c r="Q51" s="5"/>
      <c r="R51" s="5"/>
      <c r="S51" s="5"/>
      <c r="T51" s="5" t="str">
        <f t="shared" ref="T51:T60" si="3">IF(T37="","",T37)</f>
        <v/>
      </c>
      <c r="U51" s="5" t="str">
        <f>T51</f>
        <v/>
      </c>
      <c r="V51" s="5"/>
      <c r="W51" s="5"/>
      <c r="X51" s="5"/>
      <c r="Y51" s="5"/>
      <c r="Z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s="7" customFormat="1" x14ac:dyDescent="0.25">
      <c r="A52" s="17" t="s">
        <v>29</v>
      </c>
      <c r="B52" s="31" t="s">
        <v>154</v>
      </c>
      <c r="C52" s="30">
        <v>126</v>
      </c>
      <c r="D52" s="15"/>
      <c r="E52" s="15"/>
      <c r="F52" s="15"/>
      <c r="G52" s="15"/>
      <c r="H52" s="15"/>
      <c r="I52" s="15"/>
      <c r="J52" s="5"/>
      <c r="K52" s="5"/>
      <c r="L52" s="5"/>
      <c r="M52" s="5"/>
      <c r="N52" s="5"/>
      <c r="O52" s="5"/>
      <c r="P52" s="5"/>
      <c r="Q52" s="5"/>
      <c r="R52" s="5"/>
      <c r="S52" s="5"/>
      <c r="T52" s="5" t="str">
        <f t="shared" si="3"/>
        <v/>
      </c>
      <c r="U52" s="5" t="str">
        <f>T51&amp;"  /  "&amp;T52&amp;""</f>
        <v xml:space="preserve">  /  </v>
      </c>
      <c r="V52" s="5"/>
      <c r="W52" s="5"/>
      <c r="X52" s="5"/>
      <c r="Y52" s="5"/>
      <c r="Z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s="7" customFormat="1" x14ac:dyDescent="0.25">
      <c r="A53" s="17" t="s">
        <v>30</v>
      </c>
      <c r="B53" s="31" t="s">
        <v>84</v>
      </c>
      <c r="C53" s="30">
        <v>128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5"/>
      <c r="P53" s="5"/>
      <c r="Q53" s="5"/>
      <c r="R53" s="5"/>
      <c r="S53" s="5"/>
      <c r="T53" s="5" t="str">
        <f t="shared" si="3"/>
        <v/>
      </c>
      <c r="U53" s="5" t="str">
        <f>T51&amp;"  /  "&amp;T52&amp;"  /  "&amp;T53&amp;""</f>
        <v xml:space="preserve">  /    /  </v>
      </c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s="7" customFormat="1" x14ac:dyDescent="0.25">
      <c r="A54" s="17" t="s">
        <v>85</v>
      </c>
      <c r="B54" s="31" t="s">
        <v>134</v>
      </c>
      <c r="C54" s="30">
        <v>3310</v>
      </c>
      <c r="D54" s="19" t="s">
        <v>91</v>
      </c>
      <c r="E54" s="19" t="s">
        <v>138</v>
      </c>
      <c r="F54" s="19" t="s">
        <v>139</v>
      </c>
      <c r="G54" s="19" t="s">
        <v>140</v>
      </c>
      <c r="H54" s="19" t="s">
        <v>141</v>
      </c>
      <c r="I54" s="19" t="s">
        <v>142</v>
      </c>
      <c r="J54" s="19" t="s">
        <v>143</v>
      </c>
      <c r="K54" s="15"/>
      <c r="L54" s="15"/>
      <c r="M54" s="15"/>
      <c r="N54" s="15"/>
      <c r="O54" s="5"/>
      <c r="P54" s="5"/>
      <c r="Q54" s="5"/>
      <c r="R54" s="5"/>
      <c r="S54" s="5"/>
      <c r="T54" s="5" t="str">
        <f t="shared" si="3"/>
        <v/>
      </c>
      <c r="U54" s="5" t="str">
        <f>T51&amp;"  /  "&amp;T52&amp;"  /  "&amp;T53&amp;"  /  "&amp;T54&amp;""</f>
        <v xml:space="preserve">  /    /    /  </v>
      </c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s="7" customFormat="1" x14ac:dyDescent="0.25">
      <c r="A55" s="17" t="s">
        <v>31</v>
      </c>
      <c r="B55" s="31" t="s">
        <v>82</v>
      </c>
      <c r="C55" s="30">
        <v>129</v>
      </c>
      <c r="D55" s="15" t="s">
        <v>116</v>
      </c>
      <c r="E55" s="15">
        <v>713</v>
      </c>
      <c r="F55" s="15">
        <v>163768</v>
      </c>
      <c r="G55" s="15">
        <v>8516</v>
      </c>
      <c r="H55" s="15">
        <v>30</v>
      </c>
      <c r="I55" s="15">
        <v>35</v>
      </c>
      <c r="J55" s="15" t="s">
        <v>144</v>
      </c>
      <c r="K55" s="15"/>
      <c r="L55" s="15"/>
      <c r="M55" s="15"/>
      <c r="N55" s="15"/>
      <c r="O55" s="5"/>
      <c r="P55" s="5"/>
      <c r="Q55" s="5"/>
      <c r="R55" s="5"/>
      <c r="S55" s="5"/>
      <c r="T55" s="5" t="str">
        <f t="shared" si="3"/>
        <v/>
      </c>
      <c r="U55" s="5" t="str">
        <f>T51&amp;"  /  "&amp;T52&amp;"  /  "&amp;T53&amp;"  /  "&amp;T54&amp;"  /  "&amp;T55&amp;""</f>
        <v xml:space="preserve">  /    /    /    /  </v>
      </c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</row>
    <row r="56" spans="1:106" s="7" customFormat="1" x14ac:dyDescent="0.25">
      <c r="A56" s="17" t="s">
        <v>32</v>
      </c>
      <c r="B56" s="31" t="s">
        <v>164</v>
      </c>
      <c r="C56" s="31">
        <v>4292</v>
      </c>
      <c r="D56" s="15" t="s">
        <v>117</v>
      </c>
      <c r="E56" s="15">
        <v>669</v>
      </c>
      <c r="F56" s="15">
        <v>61312</v>
      </c>
      <c r="G56" s="15">
        <v>341</v>
      </c>
      <c r="H56" s="15">
        <v>35</v>
      </c>
      <c r="I56" s="15">
        <v>35</v>
      </c>
      <c r="J56" s="15" t="s">
        <v>145</v>
      </c>
      <c r="K56" s="15"/>
      <c r="L56" s="15"/>
      <c r="M56" s="15"/>
      <c r="N56" s="15"/>
      <c r="O56" s="5"/>
      <c r="P56" s="5"/>
      <c r="Q56" s="5"/>
      <c r="R56" s="5"/>
      <c r="S56" s="5"/>
      <c r="T56" s="5" t="str">
        <f t="shared" si="3"/>
        <v/>
      </c>
      <c r="U56" s="5" t="str">
        <f>T51&amp;"  /  "&amp;T52&amp;"  /  "&amp;T53&amp;"  /  "&amp;T54&amp;"  /  "&amp;T55&amp;"  /  "&amp;T56&amp;""</f>
        <v xml:space="preserve">  /    /    /    /    /  </v>
      </c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s="7" customFormat="1" x14ac:dyDescent="0.25">
      <c r="A57" s="17" t="s">
        <v>33</v>
      </c>
      <c r="B57" s="31" t="s">
        <v>83</v>
      </c>
      <c r="C57" s="30">
        <v>127</v>
      </c>
      <c r="D57" s="15" t="s">
        <v>118</v>
      </c>
      <c r="E57" s="15">
        <v>713</v>
      </c>
      <c r="F57" s="15">
        <v>48656</v>
      </c>
      <c r="G57" s="15">
        <v>4458</v>
      </c>
      <c r="H57" s="15">
        <v>6</v>
      </c>
      <c r="I57" s="15">
        <v>6</v>
      </c>
      <c r="J57" s="15" t="s">
        <v>146</v>
      </c>
      <c r="M57" s="15"/>
      <c r="N57" s="15"/>
      <c r="O57" s="5"/>
      <c r="P57" s="5"/>
      <c r="Q57" s="5"/>
      <c r="R57" s="5"/>
      <c r="S57" s="5"/>
      <c r="T57" s="5" t="str">
        <f t="shared" si="3"/>
        <v/>
      </c>
      <c r="U57" s="5" t="str">
        <f>T51&amp;"  /  "&amp;T52&amp;"  /  "&amp;T53&amp;"  /  "&amp;T54&amp;"  /  "&amp;T55&amp;"  /  "&amp;T56&amp;"  /  "&amp;T57&amp;""</f>
        <v xml:space="preserve">  /    /    /    /    /    /  </v>
      </c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s="7" customFormat="1" ht="25.5" customHeight="1" x14ac:dyDescent="0.25">
      <c r="A58" s="17" t="s">
        <v>34</v>
      </c>
      <c r="B58" s="30" t="s">
        <v>119</v>
      </c>
      <c r="C58" s="30">
        <v>85</v>
      </c>
      <c r="D58" s="15" t="s">
        <v>119</v>
      </c>
      <c r="E58" s="15">
        <v>713</v>
      </c>
      <c r="F58" s="15">
        <v>11071</v>
      </c>
      <c r="G58" s="15">
        <v>404</v>
      </c>
      <c r="H58" s="15">
        <v>29</v>
      </c>
      <c r="I58" s="15">
        <v>29</v>
      </c>
      <c r="J58" s="15" t="s">
        <v>147</v>
      </c>
      <c r="M58" s="15"/>
      <c r="N58" s="15"/>
      <c r="O58" s="5"/>
      <c r="P58" s="5"/>
      <c r="Q58" s="5"/>
      <c r="R58" s="5"/>
      <c r="S58" s="5"/>
      <c r="T58" s="5" t="str">
        <f t="shared" si="3"/>
        <v/>
      </c>
      <c r="U58" s="5" t="str">
        <f>T51&amp;"  /  "&amp;T52&amp;"  /  "&amp;T53&amp;"  /  "&amp;T54&amp;"  /  "&amp;T55&amp;"  /  "&amp;T56&amp;"  /  "&amp;T57&amp;"  /  "&amp;T58&amp;""</f>
        <v xml:space="preserve">  /    /    /    /    /    /    /  </v>
      </c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s="7" customFormat="1" ht="22.5" customHeight="1" x14ac:dyDescent="0.25">
      <c r="A59" s="17" t="s">
        <v>35</v>
      </c>
      <c r="B59" s="31" t="s">
        <v>129</v>
      </c>
      <c r="C59" s="30">
        <v>152</v>
      </c>
      <c r="D59" s="15"/>
      <c r="E59" s="15"/>
      <c r="F59" s="15"/>
      <c r="G59" s="15"/>
      <c r="H59" s="15"/>
      <c r="I59" s="15"/>
      <c r="M59" s="15"/>
      <c r="N59" s="15"/>
      <c r="O59" s="5"/>
      <c r="P59" s="5"/>
      <c r="Q59" s="5"/>
      <c r="R59" s="5"/>
      <c r="S59" s="5"/>
      <c r="T59" s="5" t="str">
        <f t="shared" si="3"/>
        <v/>
      </c>
      <c r="U59" s="5" t="str">
        <f>T51&amp;"  /  "&amp;T52&amp;"  /  "&amp;T53&amp;"  /  "&amp;T54&amp;"  /  "&amp;T55&amp;"  /  "&amp;T56&amp;"  /  "&amp;T57&amp;"  /  "&amp;T58&amp;"  /  "&amp;T59&amp;""</f>
        <v xml:space="preserve">  /    /    /    /    /    /    /    /  </v>
      </c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s="7" customFormat="1" x14ac:dyDescent="0.25">
      <c r="A60" s="17" t="s">
        <v>36</v>
      </c>
      <c r="B60" s="5"/>
      <c r="D60" s="15"/>
      <c r="E60" s="15"/>
      <c r="F60" s="15"/>
      <c r="G60" s="15"/>
      <c r="H60" s="15"/>
      <c r="I60" s="15"/>
      <c r="M60" s="15"/>
      <c r="N60" s="15"/>
      <c r="O60" s="5"/>
      <c r="P60" s="5"/>
      <c r="Q60" s="5"/>
      <c r="R60" s="5"/>
      <c r="S60" s="5"/>
      <c r="T60" s="5" t="str">
        <f t="shared" si="3"/>
        <v/>
      </c>
      <c r="U60" s="5" t="str">
        <f>T51&amp;"  /  "&amp;T52&amp;"  /  "&amp;T53&amp;"  /  "&amp;T54&amp;"  /  "&amp;T55&amp;"  /  "&amp;T56&amp;"  /  "&amp;T57&amp;"  /  "&amp;T58&amp;"  /  "&amp;T59&amp;"  /  "&amp;T60&amp;""</f>
        <v xml:space="preserve">  /    /    /    /    /    /    /    /    /  </v>
      </c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s="7" customFormat="1" x14ac:dyDescent="0.25">
      <c r="A61" s="17" t="s">
        <v>37</v>
      </c>
      <c r="B61" s="5"/>
      <c r="D61" s="15"/>
      <c r="E61" s="15"/>
      <c r="F61" s="15"/>
      <c r="G61" s="15"/>
      <c r="H61" s="15"/>
      <c r="I61" s="15"/>
      <c r="M61" s="15"/>
      <c r="N61" s="1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s="7" customFormat="1" x14ac:dyDescent="0.25">
      <c r="A62" s="17" t="s">
        <v>38</v>
      </c>
      <c r="B62" s="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5"/>
      <c r="P62" s="5"/>
      <c r="Q62" s="5"/>
      <c r="R62" s="5"/>
      <c r="S62" s="5"/>
      <c r="T62" s="5" t="str">
        <f>IF(T51="","",IF(T52="",U51,IF(T53="",U52,IF(T54="",U53,IF(T55="",U54,IF(T56="",U55,IF(T57="",U56,IF(T58="",U57,IF(T59="",U58,IF(T60="",U59,IF(T61="",U60,IF(T61=T61,U61,U60))))))))))))</f>
        <v/>
      </c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s="7" customFormat="1" x14ac:dyDescent="0.25">
      <c r="A63" s="17" t="s">
        <v>39</v>
      </c>
      <c r="B63" s="5"/>
      <c r="D63" s="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s="7" customFormat="1" x14ac:dyDescent="0.25">
      <c r="A64" s="17" t="s">
        <v>40</v>
      </c>
      <c r="B64" s="5"/>
      <c r="D64" s="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s="7" customFormat="1" x14ac:dyDescent="0.25">
      <c r="A65" s="17" t="s">
        <v>41</v>
      </c>
      <c r="B65" s="5"/>
      <c r="D65" s="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s="7" customFormat="1" x14ac:dyDescent="0.25">
      <c r="A66" s="17" t="s">
        <v>42</v>
      </c>
      <c r="B66" s="5"/>
      <c r="D66" s="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s="7" customFormat="1" x14ac:dyDescent="0.25">
      <c r="A67" s="17" t="s">
        <v>43</v>
      </c>
      <c r="B67" s="5"/>
      <c r="D67" s="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s="7" customFormat="1" x14ac:dyDescent="0.25">
      <c r="A68" s="17" t="s">
        <v>44</v>
      </c>
      <c r="B68" s="5"/>
      <c r="D68" s="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s="7" customFormat="1" x14ac:dyDescent="0.25">
      <c r="A69" s="17" t="s">
        <v>45</v>
      </c>
      <c r="B69" s="5"/>
      <c r="D69" s="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s="7" customFormat="1" x14ac:dyDescent="0.25">
      <c r="A70" s="17" t="s">
        <v>46</v>
      </c>
      <c r="B70" s="5"/>
      <c r="D70" s="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s="7" customFormat="1" x14ac:dyDescent="0.25">
      <c r="A71" s="17" t="s">
        <v>47</v>
      </c>
      <c r="B71" s="5"/>
      <c r="D71" s="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s="7" customFormat="1" x14ac:dyDescent="0.25">
      <c r="A72" s="17" t="s">
        <v>48</v>
      </c>
      <c r="B72" s="5"/>
      <c r="D72" s="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s="7" customFormat="1" x14ac:dyDescent="0.25">
      <c r="A73" s="17" t="s">
        <v>49</v>
      </c>
      <c r="B73" s="5"/>
      <c r="D73" s="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s="7" customFormat="1" x14ac:dyDescent="0.25">
      <c r="A74" s="17" t="s">
        <v>75</v>
      </c>
      <c r="B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s="7" customFormat="1" x14ac:dyDescent="0.25">
      <c r="A75" s="17" t="s">
        <v>50</v>
      </c>
      <c r="B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s="7" customForma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s="7" customFormat="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s="7" customFormat="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s="7" customFormat="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s="7" customFormat="1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s="7" customFormat="1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s="7" customForma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s="7" customFormat="1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s="7" customFormat="1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s="7" customFormat="1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s="7" customFormat="1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s="7" customFormat="1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s="7" customFormat="1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s="7" customFormat="1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s="7" customForma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s="7" customForma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s="7" customFormat="1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7" customFormat="1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s="7" customFormat="1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s="7" customFormat="1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s="7" customForma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s="7" customFormat="1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s="7" customForma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s="7" customFormat="1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s="7" customForma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s="7" customFormat="1" x14ac:dyDescent="0.25"/>
    <row r="102" spans="1:106" s="7" customFormat="1" x14ac:dyDescent="0.25"/>
    <row r="103" spans="1:106" s="7" customFormat="1" x14ac:dyDescent="0.25"/>
    <row r="104" spans="1:106" s="7" customFormat="1" x14ac:dyDescent="0.25"/>
    <row r="105" spans="1:106" s="7" customFormat="1" x14ac:dyDescent="0.25"/>
    <row r="106" spans="1:106" s="7" customFormat="1" x14ac:dyDescent="0.25"/>
    <row r="107" spans="1:106" s="7" customFormat="1" x14ac:dyDescent="0.25"/>
    <row r="108" spans="1:106" s="7" customFormat="1" x14ac:dyDescent="0.25"/>
    <row r="109" spans="1:106" s="7" customFormat="1" x14ac:dyDescent="0.25"/>
    <row r="110" spans="1:106" s="7" customFormat="1" x14ac:dyDescent="0.25"/>
    <row r="111" spans="1:106" s="7" customFormat="1" x14ac:dyDescent="0.25"/>
    <row r="112" spans="1:106" s="7" customFormat="1" x14ac:dyDescent="0.25"/>
    <row r="113" s="7" customFormat="1" x14ac:dyDescent="0.25"/>
    <row r="114" s="7" customFormat="1" x14ac:dyDescent="0.25"/>
    <row r="115" s="7" customFormat="1" x14ac:dyDescent="0.25"/>
    <row r="116" s="7" customFormat="1" x14ac:dyDescent="0.25"/>
    <row r="117" s="7" customFormat="1" x14ac:dyDescent="0.25"/>
    <row r="118" s="7" customFormat="1" x14ac:dyDescent="0.25"/>
    <row r="119" s="7" customFormat="1" x14ac:dyDescent="0.25"/>
    <row r="120" s="7" customFormat="1" x14ac:dyDescent="0.25"/>
    <row r="121" s="7" customFormat="1" x14ac:dyDescent="0.25"/>
    <row r="122" s="7" customFormat="1" x14ac:dyDescent="0.25"/>
    <row r="123" s="7" customFormat="1" x14ac:dyDescent="0.25"/>
    <row r="124" s="7" customFormat="1" x14ac:dyDescent="0.25"/>
    <row r="125" s="7" customFormat="1" x14ac:dyDescent="0.25"/>
    <row r="126" s="7" customFormat="1" x14ac:dyDescent="0.25"/>
    <row r="127" s="7" customFormat="1" x14ac:dyDescent="0.25"/>
    <row r="128" s="7" customFormat="1" x14ac:dyDescent="0.25"/>
    <row r="129" s="7" customFormat="1" x14ac:dyDescent="0.25"/>
    <row r="130" s="7" customFormat="1" x14ac:dyDescent="0.25"/>
    <row r="131" s="7" customFormat="1" x14ac:dyDescent="0.25"/>
    <row r="132" s="7" customFormat="1" x14ac:dyDescent="0.25"/>
    <row r="133" s="7" customFormat="1" x14ac:dyDescent="0.25"/>
    <row r="134" s="7" customFormat="1" x14ac:dyDescent="0.25"/>
    <row r="135" s="7" customFormat="1" x14ac:dyDescent="0.25"/>
    <row r="136" s="7" customFormat="1" x14ac:dyDescent="0.25"/>
    <row r="137" s="7" customFormat="1" x14ac:dyDescent="0.25"/>
    <row r="138" s="7" customFormat="1" x14ac:dyDescent="0.25"/>
    <row r="139" s="7" customFormat="1" x14ac:dyDescent="0.25"/>
    <row r="140" s="7" customFormat="1" x14ac:dyDescent="0.25"/>
    <row r="141" s="7" customFormat="1" x14ac:dyDescent="0.25"/>
    <row r="142" s="7" customFormat="1" x14ac:dyDescent="0.25"/>
    <row r="143" s="7" customFormat="1" x14ac:dyDescent="0.25"/>
    <row r="144" s="7" customFormat="1" x14ac:dyDescent="0.25"/>
    <row r="145" s="7" customFormat="1" x14ac:dyDescent="0.25"/>
    <row r="146" s="7" customFormat="1" x14ac:dyDescent="0.25"/>
    <row r="147" s="7" customFormat="1" x14ac:dyDescent="0.25"/>
    <row r="148" s="7" customFormat="1" x14ac:dyDescent="0.25"/>
    <row r="149" s="7" customFormat="1" x14ac:dyDescent="0.25"/>
    <row r="150" s="7" customFormat="1" x14ac:dyDescent="0.25"/>
    <row r="151" s="7" customFormat="1" x14ac:dyDescent="0.25"/>
    <row r="152" s="7" customFormat="1" x14ac:dyDescent="0.25"/>
    <row r="153" s="7" customFormat="1" x14ac:dyDescent="0.25"/>
    <row r="154" s="7" customFormat="1" x14ac:dyDescent="0.25"/>
    <row r="155" s="7" customFormat="1" x14ac:dyDescent="0.25"/>
    <row r="156" s="7" customFormat="1" x14ac:dyDescent="0.25"/>
    <row r="157" s="7" customFormat="1" x14ac:dyDescent="0.25"/>
    <row r="158" s="7" customFormat="1" x14ac:dyDescent="0.25"/>
    <row r="159" s="7" customFormat="1" x14ac:dyDescent="0.25"/>
    <row r="160" s="7" customFormat="1" x14ac:dyDescent="0.25"/>
    <row r="161" s="7" customFormat="1" x14ac:dyDescent="0.25"/>
    <row r="162" s="7" customFormat="1" x14ac:dyDescent="0.25"/>
    <row r="163" s="7" customFormat="1" x14ac:dyDescent="0.25"/>
    <row r="164" s="7" customFormat="1" x14ac:dyDescent="0.25"/>
    <row r="165" s="7" customFormat="1" x14ac:dyDescent="0.25"/>
    <row r="166" s="7" customFormat="1" x14ac:dyDescent="0.25"/>
    <row r="167" s="7" customFormat="1" x14ac:dyDescent="0.25"/>
    <row r="168" s="7" customFormat="1" x14ac:dyDescent="0.25"/>
    <row r="169" s="7" customFormat="1" x14ac:dyDescent="0.25"/>
    <row r="170" s="7" customFormat="1" x14ac:dyDescent="0.25"/>
    <row r="171" s="7" customFormat="1" x14ac:dyDescent="0.25"/>
    <row r="172" s="7" customFormat="1" x14ac:dyDescent="0.25"/>
    <row r="173" s="7" customFormat="1" x14ac:dyDescent="0.25"/>
    <row r="174" s="7" customFormat="1" x14ac:dyDescent="0.25"/>
    <row r="175" s="7" customFormat="1" x14ac:dyDescent="0.25"/>
    <row r="176" s="7" customFormat="1" x14ac:dyDescent="0.25"/>
    <row r="177" s="7" customFormat="1" x14ac:dyDescent="0.25"/>
    <row r="178" s="7" customFormat="1" x14ac:dyDescent="0.25"/>
    <row r="179" s="7" customFormat="1" x14ac:dyDescent="0.25"/>
    <row r="180" s="7" customFormat="1" x14ac:dyDescent="0.25"/>
    <row r="181" s="7" customFormat="1" x14ac:dyDescent="0.25"/>
    <row r="182" s="7" customFormat="1" x14ac:dyDescent="0.25"/>
    <row r="183" s="7" customFormat="1" x14ac:dyDescent="0.25"/>
    <row r="184" s="7" customFormat="1" x14ac:dyDescent="0.25"/>
    <row r="185" s="7" customFormat="1" x14ac:dyDescent="0.25"/>
    <row r="186" s="7" customFormat="1" x14ac:dyDescent="0.25"/>
    <row r="187" s="7" customFormat="1" x14ac:dyDescent="0.25"/>
    <row r="188" s="7" customFormat="1" x14ac:dyDescent="0.25"/>
    <row r="189" s="7" customFormat="1" x14ac:dyDescent="0.25"/>
    <row r="190" s="7" customFormat="1" x14ac:dyDescent="0.25"/>
    <row r="191" s="7" customFormat="1" x14ac:dyDescent="0.25"/>
    <row r="192" s="7" customFormat="1" x14ac:dyDescent="0.25"/>
    <row r="193" s="7" customFormat="1" x14ac:dyDescent="0.25"/>
    <row r="194" s="7" customFormat="1" x14ac:dyDescent="0.25"/>
    <row r="195" s="7" customFormat="1" x14ac:dyDescent="0.25"/>
    <row r="196" s="7" customFormat="1" x14ac:dyDescent="0.25"/>
    <row r="197" s="7" customFormat="1" x14ac:dyDescent="0.25"/>
    <row r="198" s="7" customFormat="1" x14ac:dyDescent="0.25"/>
    <row r="199" s="7" customFormat="1" x14ac:dyDescent="0.25"/>
    <row r="200" s="7" customFormat="1" x14ac:dyDescent="0.25"/>
    <row r="201" s="7" customFormat="1" x14ac:dyDescent="0.25"/>
    <row r="202" s="7" customFormat="1" x14ac:dyDescent="0.25"/>
    <row r="203" s="7" customFormat="1" x14ac:dyDescent="0.25"/>
    <row r="204" s="7" customFormat="1" x14ac:dyDescent="0.25"/>
    <row r="205" s="7" customFormat="1" x14ac:dyDescent="0.25"/>
    <row r="206" s="7" customFormat="1" x14ac:dyDescent="0.25"/>
    <row r="207" s="7" customFormat="1" x14ac:dyDescent="0.25"/>
    <row r="208" s="7" customFormat="1" x14ac:dyDescent="0.25"/>
    <row r="209" s="7" customFormat="1" x14ac:dyDescent="0.25"/>
    <row r="210" s="7" customFormat="1" x14ac:dyDescent="0.25"/>
    <row r="211" s="7" customFormat="1" x14ac:dyDescent="0.25"/>
    <row r="212" s="7" customFormat="1" x14ac:dyDescent="0.25"/>
    <row r="213" s="7" customFormat="1" x14ac:dyDescent="0.25"/>
    <row r="214" s="7" customFormat="1" x14ac:dyDescent="0.25"/>
    <row r="215" s="7" customFormat="1" x14ac:dyDescent="0.25"/>
    <row r="216" s="7" customFormat="1" x14ac:dyDescent="0.25"/>
    <row r="217" s="7" customFormat="1" x14ac:dyDescent="0.25"/>
    <row r="218" s="7" customFormat="1" x14ac:dyDescent="0.25"/>
    <row r="219" s="7" customFormat="1" x14ac:dyDescent="0.25"/>
    <row r="220" s="7" customFormat="1" x14ac:dyDescent="0.25"/>
    <row r="221" s="7" customFormat="1" x14ac:dyDescent="0.25"/>
    <row r="222" s="7" customFormat="1" x14ac:dyDescent="0.25"/>
    <row r="223" s="7" customFormat="1" x14ac:dyDescent="0.25"/>
    <row r="224" s="7" customFormat="1" x14ac:dyDescent="0.25"/>
    <row r="225" s="7" customFormat="1" x14ac:dyDescent="0.25"/>
    <row r="226" s="7" customFormat="1" x14ac:dyDescent="0.25"/>
    <row r="227" s="7" customFormat="1" x14ac:dyDescent="0.25"/>
    <row r="228" s="7" customFormat="1" x14ac:dyDescent="0.25"/>
    <row r="229" s="7" customFormat="1" x14ac:dyDescent="0.25"/>
    <row r="230" s="7" customFormat="1" x14ac:dyDescent="0.25"/>
    <row r="231" s="7" customFormat="1" x14ac:dyDescent="0.25"/>
    <row r="232" s="7" customFormat="1" x14ac:dyDescent="0.25"/>
    <row r="233" s="7" customFormat="1" x14ac:dyDescent="0.25"/>
    <row r="234" s="7" customFormat="1" x14ac:dyDescent="0.25"/>
    <row r="235" s="7" customFormat="1" x14ac:dyDescent="0.25"/>
    <row r="236" s="7" customFormat="1" x14ac:dyDescent="0.25"/>
    <row r="237" s="7" customFormat="1" x14ac:dyDescent="0.25"/>
    <row r="238" s="7" customFormat="1" x14ac:dyDescent="0.25"/>
    <row r="239" s="7" customFormat="1" x14ac:dyDescent="0.25"/>
    <row r="240" s="7" customFormat="1" x14ac:dyDescent="0.25"/>
    <row r="241" s="7" customFormat="1" x14ac:dyDescent="0.25"/>
    <row r="242" s="7" customFormat="1" x14ac:dyDescent="0.25"/>
    <row r="243" s="7" customFormat="1" x14ac:dyDescent="0.25"/>
    <row r="244" s="7" customFormat="1" x14ac:dyDescent="0.25"/>
    <row r="245" s="7" customFormat="1" x14ac:dyDescent="0.25"/>
    <row r="246" s="7" customFormat="1" x14ac:dyDescent="0.25"/>
    <row r="247" s="7" customFormat="1" x14ac:dyDescent="0.25"/>
    <row r="248" s="7" customFormat="1" x14ac:dyDescent="0.25"/>
    <row r="249" s="7" customFormat="1" x14ac:dyDescent="0.25"/>
    <row r="250" s="7" customFormat="1" x14ac:dyDescent="0.25"/>
    <row r="251" s="7" customFormat="1" x14ac:dyDescent="0.25"/>
    <row r="252" s="7" customFormat="1" x14ac:dyDescent="0.25"/>
    <row r="253" s="7" customFormat="1" x14ac:dyDescent="0.25"/>
    <row r="254" s="7" customFormat="1" x14ac:dyDescent="0.25"/>
    <row r="255" s="7" customFormat="1" x14ac:dyDescent="0.25"/>
    <row r="256" s="7" customFormat="1" x14ac:dyDescent="0.25"/>
    <row r="257" s="7" customFormat="1" x14ac:dyDescent="0.25"/>
    <row r="258" s="7" customFormat="1" x14ac:dyDescent="0.25"/>
    <row r="259" s="7" customFormat="1" x14ac:dyDescent="0.25"/>
    <row r="260" s="7" customFormat="1" x14ac:dyDescent="0.25"/>
    <row r="261" s="7" customFormat="1" x14ac:dyDescent="0.25"/>
    <row r="262" s="7" customFormat="1" x14ac:dyDescent="0.25"/>
    <row r="263" s="7" customFormat="1" x14ac:dyDescent="0.25"/>
    <row r="264" s="7" customFormat="1" x14ac:dyDescent="0.25"/>
    <row r="265" s="7" customFormat="1" x14ac:dyDescent="0.25"/>
    <row r="266" s="7" customFormat="1" x14ac:dyDescent="0.25"/>
    <row r="267" s="7" customFormat="1" x14ac:dyDescent="0.25"/>
    <row r="268" s="7" customFormat="1" x14ac:dyDescent="0.25"/>
    <row r="269" s="7" customFormat="1" x14ac:dyDescent="0.25"/>
    <row r="270" s="7" customFormat="1" x14ac:dyDescent="0.25"/>
    <row r="271" s="7" customFormat="1" x14ac:dyDescent="0.25"/>
    <row r="272" s="7" customFormat="1" x14ac:dyDescent="0.25"/>
    <row r="273" s="7" customFormat="1" x14ac:dyDescent="0.25"/>
    <row r="274" s="7" customFormat="1" x14ac:dyDescent="0.25"/>
    <row r="275" s="7" customFormat="1" x14ac:dyDescent="0.25"/>
    <row r="276" s="7" customFormat="1" x14ac:dyDescent="0.25"/>
    <row r="277" s="7" customFormat="1" x14ac:dyDescent="0.25"/>
    <row r="278" s="7" customFormat="1" x14ac:dyDescent="0.25"/>
    <row r="279" s="7" customFormat="1" x14ac:dyDescent="0.25"/>
    <row r="280" s="7" customFormat="1" x14ac:dyDescent="0.25"/>
    <row r="281" s="7" customFormat="1" x14ac:dyDescent="0.25"/>
    <row r="282" s="7" customFormat="1" x14ac:dyDescent="0.25"/>
    <row r="283" s="7" customFormat="1" x14ac:dyDescent="0.25"/>
    <row r="284" s="7" customFormat="1" x14ac:dyDescent="0.25"/>
    <row r="285" s="7" customFormat="1" x14ac:dyDescent="0.25"/>
    <row r="286" s="7" customFormat="1" x14ac:dyDescent="0.25"/>
    <row r="287" s="7" customFormat="1" x14ac:dyDescent="0.25"/>
    <row r="288" s="7" customFormat="1" x14ac:dyDescent="0.25"/>
    <row r="289" s="7" customFormat="1" x14ac:dyDescent="0.25"/>
    <row r="290" s="7" customFormat="1" x14ac:dyDescent="0.25"/>
    <row r="291" s="7" customFormat="1" x14ac:dyDescent="0.25"/>
    <row r="292" s="7" customFormat="1" x14ac:dyDescent="0.25"/>
    <row r="293" s="7" customFormat="1" x14ac:dyDescent="0.25"/>
    <row r="294" s="7" customFormat="1" x14ac:dyDescent="0.25"/>
    <row r="295" s="7" customFormat="1" x14ac:dyDescent="0.25"/>
    <row r="296" s="7" customFormat="1" x14ac:dyDescent="0.25"/>
    <row r="297" s="7" customFormat="1" x14ac:dyDescent="0.25"/>
    <row r="298" s="7" customFormat="1" x14ac:dyDescent="0.25"/>
    <row r="299" s="7" customFormat="1" x14ac:dyDescent="0.25"/>
    <row r="300" s="7" customFormat="1" x14ac:dyDescent="0.25"/>
    <row r="301" s="7" customFormat="1" x14ac:dyDescent="0.25"/>
    <row r="302" s="7" customFormat="1" x14ac:dyDescent="0.25"/>
    <row r="303" s="7" customFormat="1" x14ac:dyDescent="0.25"/>
    <row r="304" s="7" customFormat="1" x14ac:dyDescent="0.25"/>
    <row r="305" spans="26:26" s="7" customFormat="1" x14ac:dyDescent="0.25"/>
    <row r="306" spans="26:26" s="7" customFormat="1" x14ac:dyDescent="0.25"/>
    <row r="307" spans="26:26" s="7" customFormat="1" x14ac:dyDescent="0.25"/>
    <row r="308" spans="26:26" x14ac:dyDescent="0.25">
      <c r="Z308"/>
    </row>
    <row r="309" spans="26:26" x14ac:dyDescent="0.25">
      <c r="Z309"/>
    </row>
    <row r="310" spans="26:26" x14ac:dyDescent="0.25">
      <c r="Z310"/>
    </row>
    <row r="311" spans="26:26" x14ac:dyDescent="0.25">
      <c r="Z311"/>
    </row>
    <row r="312" spans="26:26" x14ac:dyDescent="0.25">
      <c r="Z312"/>
    </row>
    <row r="313" spans="26:26" x14ac:dyDescent="0.25">
      <c r="Z313"/>
    </row>
    <row r="314" spans="26:26" x14ac:dyDescent="0.25">
      <c r="Z314"/>
    </row>
    <row r="315" spans="26:26" x14ac:dyDescent="0.25">
      <c r="Z315"/>
    </row>
    <row r="316" spans="26:26" x14ac:dyDescent="0.25">
      <c r="Z316"/>
    </row>
    <row r="317" spans="26:26" x14ac:dyDescent="0.25">
      <c r="Z317"/>
    </row>
    <row r="318" spans="26:26" x14ac:dyDescent="0.25">
      <c r="Z318"/>
    </row>
    <row r="319" spans="26:26" x14ac:dyDescent="0.25">
      <c r="Z319"/>
    </row>
    <row r="320" spans="26:26" x14ac:dyDescent="0.25">
      <c r="Z320"/>
    </row>
    <row r="321" spans="26:26" x14ac:dyDescent="0.25">
      <c r="Z321"/>
    </row>
    <row r="322" spans="26:26" x14ac:dyDescent="0.25">
      <c r="Z322"/>
    </row>
    <row r="323" spans="26:26" x14ac:dyDescent="0.25">
      <c r="Z323"/>
    </row>
    <row r="324" spans="26:26" x14ac:dyDescent="0.25">
      <c r="Z324"/>
    </row>
    <row r="325" spans="26:26" x14ac:dyDescent="0.25">
      <c r="Z325"/>
    </row>
    <row r="326" spans="26:26" x14ac:dyDescent="0.25">
      <c r="Z326"/>
    </row>
    <row r="327" spans="26:26" x14ac:dyDescent="0.25">
      <c r="Z327"/>
    </row>
    <row r="328" spans="26:26" x14ac:dyDescent="0.25">
      <c r="Z328"/>
    </row>
    <row r="329" spans="26:26" x14ac:dyDescent="0.25">
      <c r="Z329"/>
    </row>
    <row r="330" spans="26:26" x14ac:dyDescent="0.25">
      <c r="Z330"/>
    </row>
    <row r="331" spans="26:26" x14ac:dyDescent="0.25">
      <c r="Z331"/>
    </row>
    <row r="332" spans="26:26" x14ac:dyDescent="0.25">
      <c r="Z332"/>
    </row>
    <row r="333" spans="26:26" x14ac:dyDescent="0.25">
      <c r="Z333"/>
    </row>
    <row r="334" spans="26:26" x14ac:dyDescent="0.25">
      <c r="Z334"/>
    </row>
    <row r="335" spans="26:26" x14ac:dyDescent="0.25">
      <c r="Z335"/>
    </row>
    <row r="336" spans="26:26" x14ac:dyDescent="0.25">
      <c r="Z336"/>
    </row>
    <row r="337" spans="26:26" x14ac:dyDescent="0.25">
      <c r="Z337"/>
    </row>
    <row r="338" spans="26:26" x14ac:dyDescent="0.25">
      <c r="Z338"/>
    </row>
    <row r="339" spans="26:26" x14ac:dyDescent="0.25">
      <c r="Z339"/>
    </row>
    <row r="340" spans="26:26" x14ac:dyDescent="0.25">
      <c r="Z340"/>
    </row>
    <row r="341" spans="26:26" x14ac:dyDescent="0.25">
      <c r="Z341"/>
    </row>
    <row r="342" spans="26:26" x14ac:dyDescent="0.25">
      <c r="Z342"/>
    </row>
    <row r="343" spans="26:26" x14ac:dyDescent="0.25">
      <c r="Z343"/>
    </row>
    <row r="344" spans="26:26" x14ac:dyDescent="0.25">
      <c r="Z344"/>
    </row>
    <row r="345" spans="26:26" x14ac:dyDescent="0.25">
      <c r="Z345"/>
    </row>
    <row r="346" spans="26:26" x14ac:dyDescent="0.25">
      <c r="Z346"/>
    </row>
    <row r="347" spans="26:26" x14ac:dyDescent="0.25">
      <c r="Z347"/>
    </row>
    <row r="348" spans="26:26" x14ac:dyDescent="0.25">
      <c r="Z348"/>
    </row>
    <row r="349" spans="26:26" x14ac:dyDescent="0.25">
      <c r="Z349"/>
    </row>
    <row r="350" spans="26:26" x14ac:dyDescent="0.25">
      <c r="Z350"/>
    </row>
    <row r="351" spans="26:26" x14ac:dyDescent="0.25">
      <c r="Z351"/>
    </row>
    <row r="352" spans="26:26" x14ac:dyDescent="0.25">
      <c r="Z352"/>
    </row>
    <row r="353" spans="26:26" x14ac:dyDescent="0.25">
      <c r="Z353"/>
    </row>
    <row r="354" spans="26:26" x14ac:dyDescent="0.25">
      <c r="Z354"/>
    </row>
    <row r="355" spans="26:26" x14ac:dyDescent="0.25">
      <c r="Z355"/>
    </row>
    <row r="356" spans="26:26" x14ac:dyDescent="0.25">
      <c r="Z356"/>
    </row>
    <row r="357" spans="26:26" x14ac:dyDescent="0.25">
      <c r="Z357"/>
    </row>
    <row r="358" spans="26:26" x14ac:dyDescent="0.25">
      <c r="Z358"/>
    </row>
    <row r="359" spans="26:26" x14ac:dyDescent="0.25">
      <c r="Z359"/>
    </row>
    <row r="360" spans="26:26" x14ac:dyDescent="0.25">
      <c r="Z360"/>
    </row>
    <row r="361" spans="26:26" x14ac:dyDescent="0.25">
      <c r="Z361"/>
    </row>
    <row r="362" spans="26:26" x14ac:dyDescent="0.25">
      <c r="Z362"/>
    </row>
    <row r="363" spans="26:26" x14ac:dyDescent="0.25">
      <c r="Z363"/>
    </row>
    <row r="364" spans="26:26" x14ac:dyDescent="0.25">
      <c r="Z364"/>
    </row>
    <row r="365" spans="26:26" x14ac:dyDescent="0.25">
      <c r="Z365"/>
    </row>
    <row r="366" spans="26:26" x14ac:dyDescent="0.25">
      <c r="Z366"/>
    </row>
    <row r="367" spans="26:26" x14ac:dyDescent="0.25">
      <c r="Z367"/>
    </row>
    <row r="368" spans="26:26" x14ac:dyDescent="0.25">
      <c r="Z368"/>
    </row>
    <row r="369" spans="26:26" x14ac:dyDescent="0.25">
      <c r="Z369"/>
    </row>
    <row r="370" spans="26:26" x14ac:dyDescent="0.25">
      <c r="Z370"/>
    </row>
    <row r="371" spans="26:26" x14ac:dyDescent="0.25">
      <c r="Z371"/>
    </row>
    <row r="372" spans="26:26" x14ac:dyDescent="0.25">
      <c r="Z372"/>
    </row>
    <row r="373" spans="26:26" x14ac:dyDescent="0.25">
      <c r="Z373"/>
    </row>
    <row r="374" spans="26:26" x14ac:dyDescent="0.25">
      <c r="Z374"/>
    </row>
    <row r="375" spans="26:26" x14ac:dyDescent="0.25">
      <c r="Z375"/>
    </row>
    <row r="376" spans="26:26" x14ac:dyDescent="0.25">
      <c r="Z376"/>
    </row>
    <row r="377" spans="26:26" x14ac:dyDescent="0.25">
      <c r="Z377"/>
    </row>
    <row r="378" spans="26:26" x14ac:dyDescent="0.25">
      <c r="Z378"/>
    </row>
    <row r="379" spans="26:26" x14ac:dyDescent="0.25">
      <c r="Z379"/>
    </row>
    <row r="380" spans="26:26" x14ac:dyDescent="0.25">
      <c r="Z380"/>
    </row>
    <row r="381" spans="26:26" x14ac:dyDescent="0.25">
      <c r="Z381"/>
    </row>
    <row r="382" spans="26:26" x14ac:dyDescent="0.25">
      <c r="Z382"/>
    </row>
    <row r="383" spans="26:26" x14ac:dyDescent="0.25">
      <c r="Z383"/>
    </row>
    <row r="384" spans="26:26" x14ac:dyDescent="0.25">
      <c r="Z384"/>
    </row>
    <row r="385" spans="26:26" x14ac:dyDescent="0.25">
      <c r="Z385"/>
    </row>
    <row r="386" spans="26:26" x14ac:dyDescent="0.25">
      <c r="Z386"/>
    </row>
    <row r="387" spans="26:26" x14ac:dyDescent="0.25">
      <c r="Z387"/>
    </row>
    <row r="388" spans="26:26" x14ac:dyDescent="0.25">
      <c r="Z388"/>
    </row>
    <row r="389" spans="26:26" x14ac:dyDescent="0.25">
      <c r="Z389"/>
    </row>
    <row r="390" spans="26:26" x14ac:dyDescent="0.25">
      <c r="Z390"/>
    </row>
    <row r="391" spans="26:26" x14ac:dyDescent="0.25">
      <c r="Z391"/>
    </row>
    <row r="392" spans="26:26" x14ac:dyDescent="0.25">
      <c r="Z392"/>
    </row>
    <row r="393" spans="26:26" x14ac:dyDescent="0.25">
      <c r="Z393"/>
    </row>
    <row r="394" spans="26:26" x14ac:dyDescent="0.25">
      <c r="Z394"/>
    </row>
    <row r="395" spans="26:26" x14ac:dyDescent="0.25">
      <c r="Z395"/>
    </row>
    <row r="396" spans="26:26" x14ac:dyDescent="0.25">
      <c r="Z396"/>
    </row>
    <row r="397" spans="26:26" x14ac:dyDescent="0.25">
      <c r="Z397"/>
    </row>
    <row r="398" spans="26:26" x14ac:dyDescent="0.25">
      <c r="Z398"/>
    </row>
    <row r="399" spans="26:26" x14ac:dyDescent="0.25">
      <c r="Z399"/>
    </row>
    <row r="400" spans="26:26" x14ac:dyDescent="0.25">
      <c r="Z400"/>
    </row>
    <row r="401" spans="26:26" x14ac:dyDescent="0.25">
      <c r="Z401"/>
    </row>
    <row r="402" spans="26:26" x14ac:dyDescent="0.25">
      <c r="Z402"/>
    </row>
    <row r="403" spans="26:26" x14ac:dyDescent="0.25">
      <c r="Z403"/>
    </row>
    <row r="404" spans="26:26" x14ac:dyDescent="0.25">
      <c r="Z404"/>
    </row>
    <row r="405" spans="26:26" x14ac:dyDescent="0.25">
      <c r="Z405"/>
    </row>
    <row r="406" spans="26:26" x14ac:dyDescent="0.25">
      <c r="Z406"/>
    </row>
    <row r="407" spans="26:26" x14ac:dyDescent="0.25">
      <c r="Z407"/>
    </row>
    <row r="408" spans="26:26" x14ac:dyDescent="0.25">
      <c r="Z408"/>
    </row>
    <row r="409" spans="26:26" x14ac:dyDescent="0.25">
      <c r="Z409"/>
    </row>
    <row r="410" spans="26:26" x14ac:dyDescent="0.25">
      <c r="Z410"/>
    </row>
    <row r="411" spans="26:26" x14ac:dyDescent="0.25">
      <c r="Z411"/>
    </row>
    <row r="412" spans="26:26" x14ac:dyDescent="0.25">
      <c r="Z412"/>
    </row>
    <row r="413" spans="26:26" x14ac:dyDescent="0.25">
      <c r="Z413"/>
    </row>
    <row r="414" spans="26:26" x14ac:dyDescent="0.25">
      <c r="Z414"/>
    </row>
    <row r="415" spans="26:26" x14ac:dyDescent="0.25">
      <c r="Z415"/>
    </row>
    <row r="416" spans="26:26" x14ac:dyDescent="0.25">
      <c r="Z416"/>
    </row>
    <row r="417" spans="26:26" x14ac:dyDescent="0.25">
      <c r="Z417"/>
    </row>
    <row r="418" spans="26:26" x14ac:dyDescent="0.25">
      <c r="Z418"/>
    </row>
    <row r="419" spans="26:26" x14ac:dyDescent="0.25">
      <c r="Z419"/>
    </row>
    <row r="420" spans="26:26" x14ac:dyDescent="0.25">
      <c r="Z420"/>
    </row>
    <row r="421" spans="26:26" x14ac:dyDescent="0.25">
      <c r="Z421"/>
    </row>
    <row r="422" spans="26:26" x14ac:dyDescent="0.25">
      <c r="Z422"/>
    </row>
    <row r="423" spans="26:26" x14ac:dyDescent="0.25">
      <c r="Z423"/>
    </row>
    <row r="424" spans="26:26" x14ac:dyDescent="0.25">
      <c r="Z424"/>
    </row>
    <row r="425" spans="26:26" x14ac:dyDescent="0.25">
      <c r="Z425"/>
    </row>
    <row r="426" spans="26:26" x14ac:dyDescent="0.25">
      <c r="Z426"/>
    </row>
    <row r="427" spans="26:26" x14ac:dyDescent="0.25">
      <c r="Z427"/>
    </row>
    <row r="428" spans="26:26" x14ac:dyDescent="0.25">
      <c r="Z428"/>
    </row>
    <row r="429" spans="26:26" x14ac:dyDescent="0.25">
      <c r="Z429"/>
    </row>
    <row r="430" spans="26:26" x14ac:dyDescent="0.25">
      <c r="Z430"/>
    </row>
    <row r="431" spans="26:26" x14ac:dyDescent="0.25">
      <c r="Z431"/>
    </row>
    <row r="432" spans="26:26" x14ac:dyDescent="0.25">
      <c r="Z432"/>
    </row>
    <row r="433" spans="26:26" x14ac:dyDescent="0.25">
      <c r="Z433"/>
    </row>
    <row r="434" spans="26:26" x14ac:dyDescent="0.25">
      <c r="Z434"/>
    </row>
    <row r="435" spans="26:26" x14ac:dyDescent="0.25">
      <c r="Z435"/>
    </row>
    <row r="436" spans="26:26" x14ac:dyDescent="0.25">
      <c r="Z436"/>
    </row>
    <row r="437" spans="26:26" x14ac:dyDescent="0.25">
      <c r="Z437"/>
    </row>
    <row r="438" spans="26:26" x14ac:dyDescent="0.25">
      <c r="Z438"/>
    </row>
    <row r="439" spans="26:26" x14ac:dyDescent="0.25">
      <c r="Z439"/>
    </row>
    <row r="440" spans="26:26" x14ac:dyDescent="0.25">
      <c r="Z440"/>
    </row>
    <row r="441" spans="26:26" x14ac:dyDescent="0.25">
      <c r="Z441"/>
    </row>
    <row r="442" spans="26:26" x14ac:dyDescent="0.25">
      <c r="Z442"/>
    </row>
    <row r="443" spans="26:26" x14ac:dyDescent="0.25">
      <c r="Z443"/>
    </row>
    <row r="444" spans="26:26" x14ac:dyDescent="0.25">
      <c r="Z444"/>
    </row>
    <row r="445" spans="26:26" x14ac:dyDescent="0.25">
      <c r="Z445"/>
    </row>
    <row r="446" spans="26:26" x14ac:dyDescent="0.25">
      <c r="Z446"/>
    </row>
    <row r="447" spans="26:26" x14ac:dyDescent="0.25">
      <c r="Z447"/>
    </row>
    <row r="448" spans="26:26" x14ac:dyDescent="0.25">
      <c r="Z448"/>
    </row>
    <row r="449" spans="26:26" x14ac:dyDescent="0.25">
      <c r="Z449"/>
    </row>
    <row r="450" spans="26:26" x14ac:dyDescent="0.25">
      <c r="Z450"/>
    </row>
    <row r="451" spans="26:26" x14ac:dyDescent="0.25">
      <c r="Z451"/>
    </row>
    <row r="452" spans="26:26" x14ac:dyDescent="0.25">
      <c r="Z452"/>
    </row>
    <row r="453" spans="26:26" x14ac:dyDescent="0.25">
      <c r="Z453"/>
    </row>
    <row r="454" spans="26:26" x14ac:dyDescent="0.25">
      <c r="Z454"/>
    </row>
    <row r="455" spans="26:26" x14ac:dyDescent="0.25">
      <c r="Z455"/>
    </row>
    <row r="456" spans="26:26" x14ac:dyDescent="0.25">
      <c r="Z456"/>
    </row>
    <row r="457" spans="26:26" x14ac:dyDescent="0.25">
      <c r="Z457"/>
    </row>
    <row r="458" spans="26:26" x14ac:dyDescent="0.25">
      <c r="Z458"/>
    </row>
    <row r="459" spans="26:26" x14ac:dyDescent="0.25">
      <c r="Z459"/>
    </row>
    <row r="460" spans="26:26" x14ac:dyDescent="0.25">
      <c r="Z460"/>
    </row>
    <row r="461" spans="26:26" x14ac:dyDescent="0.25">
      <c r="Z461"/>
    </row>
    <row r="462" spans="26:26" x14ac:dyDescent="0.25">
      <c r="Z462"/>
    </row>
    <row r="463" spans="26:26" x14ac:dyDescent="0.25">
      <c r="Z463"/>
    </row>
    <row r="464" spans="26:26" x14ac:dyDescent="0.25">
      <c r="Z464"/>
    </row>
    <row r="465" spans="26:26" x14ac:dyDescent="0.25">
      <c r="Z465"/>
    </row>
    <row r="466" spans="26:26" x14ac:dyDescent="0.25">
      <c r="Z466"/>
    </row>
    <row r="467" spans="26:26" x14ac:dyDescent="0.25">
      <c r="Z467"/>
    </row>
    <row r="468" spans="26:26" x14ac:dyDescent="0.25">
      <c r="Z468"/>
    </row>
    <row r="469" spans="26:26" x14ac:dyDescent="0.25">
      <c r="Z469"/>
    </row>
    <row r="470" spans="26:26" x14ac:dyDescent="0.25">
      <c r="Z470"/>
    </row>
    <row r="471" spans="26:26" x14ac:dyDescent="0.25">
      <c r="Z471"/>
    </row>
    <row r="472" spans="26:26" x14ac:dyDescent="0.25">
      <c r="Z472"/>
    </row>
    <row r="473" spans="26:26" x14ac:dyDescent="0.25">
      <c r="Z473"/>
    </row>
    <row r="474" spans="26:26" x14ac:dyDescent="0.25">
      <c r="Z474"/>
    </row>
    <row r="475" spans="26:26" x14ac:dyDescent="0.25">
      <c r="Z475"/>
    </row>
    <row r="476" spans="26:26" x14ac:dyDescent="0.25">
      <c r="Z476"/>
    </row>
    <row r="477" spans="26:26" x14ac:dyDescent="0.25">
      <c r="Z477"/>
    </row>
    <row r="478" spans="26:26" x14ac:dyDescent="0.25">
      <c r="Z478"/>
    </row>
    <row r="479" spans="26:26" x14ac:dyDescent="0.25">
      <c r="Z479"/>
    </row>
    <row r="480" spans="26:26" x14ac:dyDescent="0.25">
      <c r="Z480"/>
    </row>
    <row r="481" spans="26:26" x14ac:dyDescent="0.25">
      <c r="Z481"/>
    </row>
  </sheetData>
  <sortState ref="B36:C55">
    <sortCondition ref="B35"/>
  </sortState>
  <mergeCells count="2">
    <mergeCell ref="C1:C24"/>
    <mergeCell ref="AA47:AG47"/>
  </mergeCells>
  <conditionalFormatting sqref="C1:C4">
    <cfRule type="expression" dxfId="9" priority="1">
      <formula>LEN(C27)&lt;80</formula>
    </cfRule>
    <cfRule type="expression" dxfId="8" priority="2">
      <formula>LEN(C27)&gt;80</formula>
    </cfRule>
  </conditionalFormatting>
  <conditionalFormatting sqref="C13:C25">
    <cfRule type="expression" dxfId="7" priority="5">
      <formula>LEN(A44)&lt;80</formula>
    </cfRule>
    <cfRule type="expression" dxfId="6" priority="6">
      <formula>LEN(A44)&gt;80</formula>
    </cfRule>
  </conditionalFormatting>
  <conditionalFormatting sqref="C11:C12">
    <cfRule type="expression" dxfId="5" priority="7">
      <formula>LEN(A39)&lt;80</formula>
    </cfRule>
    <cfRule type="expression" dxfId="4" priority="8">
      <formula>LEN(A39)&gt;80</formula>
    </cfRule>
  </conditionalFormatting>
  <conditionalFormatting sqref="C5">
    <cfRule type="expression" dxfId="3" priority="9">
      <formula>LEN(A31)&lt;80</formula>
    </cfRule>
    <cfRule type="expression" dxfId="2" priority="10">
      <formula>LEN(A31)&gt;80</formula>
    </cfRule>
  </conditionalFormatting>
  <conditionalFormatting sqref="C6:C10">
    <cfRule type="expression" dxfId="1" priority="11">
      <formula>LEN(A33)&lt;80</formula>
    </cfRule>
    <cfRule type="expression" dxfId="0" priority="12">
      <formula>LEN(A33)&gt;80</formula>
    </cfRule>
  </conditionalFormatting>
  <dataValidations count="5">
    <dataValidation type="list" allowBlank="1" showInputMessage="1" sqref="B11">
      <formula1>$H$33:$H$35</formula1>
    </dataValidation>
    <dataValidation type="list" showInputMessage="1" sqref="B23">
      <formula1>$M$32:$M$41</formula1>
    </dataValidation>
    <dataValidation type="list" allowBlank="1" showInputMessage="1" sqref="B1">
      <formula1>$A$33:$A$75</formula1>
    </dataValidation>
    <dataValidation type="list" allowBlank="1" showInputMessage="1" showErrorMessage="1" sqref="B12">
      <formula1>$D$55:$D$58</formula1>
    </dataValidation>
    <dataValidation type="list" allowBlank="1" showInputMessage="1" sqref="B2">
      <formula1>$B$34:$B$59</formula1>
    </dataValidation>
  </dataValidations>
  <pageMargins left="0.7" right="0.7" top="0.75" bottom="0.75" header="0.3" footer="0.3"/>
  <pageSetup paperSize="119" scale="1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Macro7">
                <anchor moveWithCells="1">
                  <from>
                    <xdr:col>3</xdr:col>
                    <xdr:colOff>95250</xdr:colOff>
                    <xdr:row>3</xdr:row>
                    <xdr:rowOff>114300</xdr:rowOff>
                  </from>
                  <to>
                    <xdr:col>3</xdr:col>
                    <xdr:colOff>2209800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Macro9">
                <anchor moveWithCells="1">
                  <from>
                    <xdr:col>3</xdr:col>
                    <xdr:colOff>114300</xdr:colOff>
                    <xdr:row>0</xdr:row>
                    <xdr:rowOff>76200</xdr:rowOff>
                  </from>
                  <to>
                    <xdr:col>3</xdr:col>
                    <xdr:colOff>2200275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Macro1">
                <anchor moveWithCells="1">
                  <from>
                    <xdr:col>3</xdr:col>
                    <xdr:colOff>2276475</xdr:colOff>
                    <xdr:row>3</xdr:row>
                    <xdr:rowOff>114300</xdr:rowOff>
                  </from>
                  <to>
                    <xdr:col>4</xdr:col>
                    <xdr:colOff>2085975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Macro2">
                <anchor moveWithCells="1">
                  <from>
                    <xdr:col>3</xdr:col>
                    <xdr:colOff>2266950</xdr:colOff>
                    <xdr:row>0</xdr:row>
                    <xdr:rowOff>66675</xdr:rowOff>
                  </from>
                  <to>
                    <xdr:col>4</xdr:col>
                    <xdr:colOff>2047875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DymoPrint">
                <anchor moveWithCells="1">
                  <from>
                    <xdr:col>6</xdr:col>
                    <xdr:colOff>933450</xdr:colOff>
                    <xdr:row>1</xdr:row>
                    <xdr:rowOff>57150</xdr:rowOff>
                  </from>
                  <to>
                    <xdr:col>8</xdr:col>
                    <xdr:colOff>866775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30"/>
  <sheetViews>
    <sheetView tabSelected="1" topLeftCell="C1" zoomScale="78" zoomScaleNormal="78" workbookViewId="0">
      <selection activeCell="C1" sqref="A1:XFD30"/>
    </sheetView>
  </sheetViews>
  <sheetFormatPr defaultRowHeight="15" x14ac:dyDescent="0.25"/>
  <cols>
    <col min="1" max="1" width="17.7109375" style="6" customWidth="1"/>
    <col min="2" max="2" width="83.7109375" customWidth="1"/>
    <col min="3" max="3" width="23.85546875" style="6" customWidth="1"/>
  </cols>
  <sheetData>
    <row r="1" spans="1:33" s="8" customFormat="1" x14ac:dyDescent="0.25">
      <c r="A1" s="8" t="s">
        <v>87</v>
      </c>
      <c r="B1" s="8" t="s">
        <v>88</v>
      </c>
      <c r="C1" s="8" t="s">
        <v>89</v>
      </c>
      <c r="D1" s="8" t="s">
        <v>90</v>
      </c>
      <c r="E1" s="8" t="s">
        <v>8</v>
      </c>
      <c r="F1" s="8" t="s">
        <v>91</v>
      </c>
      <c r="G1" s="8" t="s">
        <v>92</v>
      </c>
      <c r="H1" s="8" t="s">
        <v>93</v>
      </c>
      <c r="I1" s="8" t="s">
        <v>94</v>
      </c>
      <c r="J1" s="8" t="s">
        <v>95</v>
      </c>
      <c r="K1" s="8" t="s">
        <v>96</v>
      </c>
      <c r="L1" s="8" t="s">
        <v>97</v>
      </c>
      <c r="M1" s="8" t="s">
        <v>98</v>
      </c>
      <c r="N1" s="8" t="s">
        <v>99</v>
      </c>
      <c r="O1" s="8" t="s">
        <v>100</v>
      </c>
      <c r="P1" s="8" t="s">
        <v>101</v>
      </c>
      <c r="Q1" s="8" t="s">
        <v>102</v>
      </c>
      <c r="R1" s="8" t="s">
        <v>103</v>
      </c>
      <c r="S1" s="8" t="s">
        <v>104</v>
      </c>
      <c r="T1" s="8" t="s">
        <v>105</v>
      </c>
      <c r="U1" s="8" t="s">
        <v>106</v>
      </c>
      <c r="V1" s="8" t="s">
        <v>107</v>
      </c>
      <c r="W1" s="8" t="s">
        <v>108</v>
      </c>
      <c r="X1" s="8" t="s">
        <v>109</v>
      </c>
      <c r="Y1" s="8" t="s">
        <v>110</v>
      </c>
      <c r="Z1" s="8" t="s">
        <v>111</v>
      </c>
      <c r="AA1" s="8" t="s">
        <v>112</v>
      </c>
      <c r="AB1" s="8" t="s">
        <v>113</v>
      </c>
      <c r="AC1" s="8" t="s">
        <v>114</v>
      </c>
      <c r="AD1" s="8" t="s">
        <v>148</v>
      </c>
      <c r="AE1" s="8" t="s">
        <v>1</v>
      </c>
      <c r="AF1" s="8" t="s">
        <v>149</v>
      </c>
      <c r="AG1" s="8" t="s">
        <v>150</v>
      </c>
    </row>
    <row r="2" spans="1:33" x14ac:dyDescent="0.25">
      <c r="A2" s="6" t="s">
        <v>166</v>
      </c>
      <c r="B2" t="s">
        <v>183</v>
      </c>
      <c r="C2" s="6" t="s">
        <v>167</v>
      </c>
      <c r="D2" t="s">
        <v>159</v>
      </c>
      <c r="E2" t="s">
        <v>9</v>
      </c>
      <c r="F2" t="s">
        <v>116</v>
      </c>
      <c r="G2">
        <v>7.95</v>
      </c>
      <c r="H2">
        <v>2</v>
      </c>
      <c r="I2">
        <v>2</v>
      </c>
      <c r="J2">
        <v>1</v>
      </c>
      <c r="K2">
        <v>0.5</v>
      </c>
      <c r="L2" t="s">
        <v>168</v>
      </c>
      <c r="M2" t="s">
        <v>120</v>
      </c>
      <c r="N2" t="s">
        <v>169</v>
      </c>
      <c r="O2" t="s">
        <v>123</v>
      </c>
      <c r="R2" t="s">
        <v>170</v>
      </c>
      <c r="S2">
        <v>152</v>
      </c>
      <c r="U2" t="s">
        <v>144</v>
      </c>
      <c r="V2">
        <v>713</v>
      </c>
      <c r="W2">
        <v>163768</v>
      </c>
      <c r="X2">
        <v>8516</v>
      </c>
      <c r="Y2">
        <v>30</v>
      </c>
      <c r="Z2">
        <v>35</v>
      </c>
      <c r="AA2" t="s">
        <v>171</v>
      </c>
      <c r="AB2" t="s">
        <v>172</v>
      </c>
      <c r="AC2" t="s">
        <v>171</v>
      </c>
      <c r="AD2" t="s">
        <v>166</v>
      </c>
      <c r="AE2" t="s">
        <v>37</v>
      </c>
      <c r="AF2">
        <v>0</v>
      </c>
      <c r="AG2">
        <v>0</v>
      </c>
    </row>
    <row r="3" spans="1:33" x14ac:dyDescent="0.25">
      <c r="A3" s="6" t="s">
        <v>173</v>
      </c>
      <c r="B3" t="s">
        <v>182</v>
      </c>
      <c r="C3" s="6" t="s">
        <v>174</v>
      </c>
      <c r="D3" t="s">
        <v>159</v>
      </c>
      <c r="E3" t="s">
        <v>9</v>
      </c>
      <c r="F3" t="s">
        <v>116</v>
      </c>
      <c r="G3">
        <v>6.95</v>
      </c>
      <c r="H3">
        <v>2</v>
      </c>
      <c r="I3">
        <v>2</v>
      </c>
      <c r="J3">
        <v>1</v>
      </c>
      <c r="K3">
        <v>0.5</v>
      </c>
      <c r="L3" t="s">
        <v>175</v>
      </c>
      <c r="M3" t="s">
        <v>120</v>
      </c>
      <c r="N3" t="s">
        <v>176</v>
      </c>
      <c r="O3" t="s">
        <v>123</v>
      </c>
      <c r="R3" t="s">
        <v>177</v>
      </c>
      <c r="S3">
        <v>5403</v>
      </c>
      <c r="U3" t="s">
        <v>144</v>
      </c>
      <c r="V3">
        <v>713</v>
      </c>
      <c r="W3">
        <v>163768</v>
      </c>
      <c r="X3">
        <v>8516</v>
      </c>
      <c r="Y3">
        <v>30</v>
      </c>
      <c r="Z3">
        <v>35</v>
      </c>
      <c r="AA3" t="s">
        <v>178</v>
      </c>
      <c r="AB3" t="s">
        <v>179</v>
      </c>
      <c r="AC3" t="s">
        <v>178</v>
      </c>
      <c r="AD3" t="s">
        <v>173</v>
      </c>
      <c r="AE3" t="s">
        <v>28</v>
      </c>
      <c r="AF3">
        <v>0</v>
      </c>
      <c r="AG3">
        <v>0</v>
      </c>
    </row>
    <row r="4" spans="1:33" x14ac:dyDescent="0.25">
      <c r="A4" s="6" t="s">
        <v>181</v>
      </c>
      <c r="B4" t="s">
        <v>195</v>
      </c>
      <c r="C4" s="6" t="s">
        <v>180</v>
      </c>
      <c r="D4" t="s">
        <v>159</v>
      </c>
      <c r="E4" t="s">
        <v>9</v>
      </c>
      <c r="F4" t="s">
        <v>116</v>
      </c>
      <c r="G4">
        <v>14.95</v>
      </c>
      <c r="H4">
        <v>2</v>
      </c>
      <c r="I4">
        <v>2</v>
      </c>
      <c r="J4">
        <v>1</v>
      </c>
      <c r="K4">
        <v>0.5</v>
      </c>
      <c r="L4" t="s">
        <v>185</v>
      </c>
      <c r="M4" t="s">
        <v>120</v>
      </c>
      <c r="N4" t="s">
        <v>186</v>
      </c>
      <c r="O4" t="s">
        <v>123</v>
      </c>
      <c r="R4" t="s">
        <v>187</v>
      </c>
      <c r="S4">
        <v>5403</v>
      </c>
      <c r="U4" t="s">
        <v>144</v>
      </c>
      <c r="V4">
        <v>713</v>
      </c>
      <c r="W4">
        <v>163768</v>
      </c>
      <c r="X4">
        <v>8516</v>
      </c>
      <c r="Y4">
        <v>30</v>
      </c>
      <c r="Z4">
        <v>35</v>
      </c>
      <c r="AA4" t="s">
        <v>188</v>
      </c>
      <c r="AB4" t="s">
        <v>189</v>
      </c>
      <c r="AC4" t="s">
        <v>188</v>
      </c>
      <c r="AD4" t="s">
        <v>181</v>
      </c>
      <c r="AE4" t="s">
        <v>37</v>
      </c>
      <c r="AF4">
        <v>0</v>
      </c>
      <c r="AG4">
        <v>0</v>
      </c>
    </row>
    <row r="5" spans="1:33" x14ac:dyDescent="0.25">
      <c r="A5" s="6" t="s">
        <v>184</v>
      </c>
      <c r="B5" t="s">
        <v>196</v>
      </c>
      <c r="C5" s="6" t="s">
        <v>198</v>
      </c>
      <c r="D5" t="s">
        <v>159</v>
      </c>
      <c r="E5" t="s">
        <v>9</v>
      </c>
      <c r="F5" t="s">
        <v>116</v>
      </c>
      <c r="G5">
        <v>14.95</v>
      </c>
      <c r="H5">
        <v>2</v>
      </c>
      <c r="I5">
        <v>2</v>
      </c>
      <c r="J5">
        <v>1</v>
      </c>
      <c r="K5">
        <v>0.5</v>
      </c>
      <c r="L5" t="s">
        <v>190</v>
      </c>
      <c r="M5" t="s">
        <v>120</v>
      </c>
      <c r="N5" t="s">
        <v>191</v>
      </c>
      <c r="O5" t="s">
        <v>123</v>
      </c>
      <c r="R5" t="s">
        <v>192</v>
      </c>
      <c r="S5">
        <v>5403</v>
      </c>
      <c r="U5" t="s">
        <v>144</v>
      </c>
      <c r="V5">
        <v>713</v>
      </c>
      <c r="W5">
        <v>163768</v>
      </c>
      <c r="X5">
        <v>8516</v>
      </c>
      <c r="Y5">
        <v>30</v>
      </c>
      <c r="Z5">
        <v>35</v>
      </c>
      <c r="AA5" t="s">
        <v>193</v>
      </c>
      <c r="AB5" t="s">
        <v>194</v>
      </c>
      <c r="AC5" t="s">
        <v>193</v>
      </c>
      <c r="AD5" t="s">
        <v>184</v>
      </c>
      <c r="AE5" t="s">
        <v>37</v>
      </c>
      <c r="AF5">
        <v>0</v>
      </c>
      <c r="AG5">
        <v>0</v>
      </c>
    </row>
    <row r="6" spans="1:33" x14ac:dyDescent="0.25">
      <c r="A6" s="6" t="s">
        <v>197</v>
      </c>
      <c r="B6" t="s">
        <v>220</v>
      </c>
      <c r="C6" s="6" t="s">
        <v>199</v>
      </c>
      <c r="D6" t="s">
        <v>159</v>
      </c>
      <c r="E6" t="s">
        <v>9</v>
      </c>
      <c r="F6" t="s">
        <v>116</v>
      </c>
      <c r="G6">
        <v>5.95</v>
      </c>
      <c r="H6">
        <v>2</v>
      </c>
      <c r="I6">
        <v>2</v>
      </c>
      <c r="J6">
        <v>1</v>
      </c>
      <c r="K6">
        <v>0.5</v>
      </c>
      <c r="L6" t="s">
        <v>200</v>
      </c>
      <c r="M6" t="s">
        <v>120</v>
      </c>
      <c r="N6" t="s">
        <v>201</v>
      </c>
      <c r="O6" t="s">
        <v>123</v>
      </c>
      <c r="R6" t="s">
        <v>202</v>
      </c>
      <c r="S6">
        <v>5403</v>
      </c>
      <c r="U6" t="s">
        <v>144</v>
      </c>
      <c r="V6">
        <v>713</v>
      </c>
      <c r="W6">
        <v>163768</v>
      </c>
      <c r="X6">
        <v>8516</v>
      </c>
      <c r="Y6">
        <v>30</v>
      </c>
      <c r="Z6">
        <v>35</v>
      </c>
      <c r="AA6" t="s">
        <v>203</v>
      </c>
      <c r="AB6" t="s">
        <v>204</v>
      </c>
      <c r="AC6" t="s">
        <v>203</v>
      </c>
      <c r="AD6" t="s">
        <v>197</v>
      </c>
      <c r="AE6" t="s">
        <v>28</v>
      </c>
      <c r="AF6">
        <v>0</v>
      </c>
      <c r="AG6">
        <v>0</v>
      </c>
    </row>
    <row r="7" spans="1:33" x14ac:dyDescent="0.25">
      <c r="A7" s="6" t="s">
        <v>205</v>
      </c>
      <c r="B7" t="s">
        <v>221</v>
      </c>
      <c r="C7" s="6" t="s">
        <v>206</v>
      </c>
      <c r="D7" t="s">
        <v>159</v>
      </c>
      <c r="E7" t="s">
        <v>9</v>
      </c>
      <c r="F7" t="s">
        <v>116</v>
      </c>
      <c r="G7">
        <v>7.95</v>
      </c>
      <c r="H7">
        <v>2</v>
      </c>
      <c r="I7">
        <v>2</v>
      </c>
      <c r="J7">
        <v>1</v>
      </c>
      <c r="K7">
        <v>0.5</v>
      </c>
      <c r="L7" t="s">
        <v>207</v>
      </c>
      <c r="M7" t="s">
        <v>120</v>
      </c>
      <c r="N7" t="s">
        <v>208</v>
      </c>
      <c r="O7" t="s">
        <v>123</v>
      </c>
      <c r="R7" t="s">
        <v>209</v>
      </c>
      <c r="S7">
        <v>5403</v>
      </c>
      <c r="U7" t="s">
        <v>144</v>
      </c>
      <c r="V7">
        <v>713</v>
      </c>
      <c r="W7">
        <v>163768</v>
      </c>
      <c r="X7">
        <v>8516</v>
      </c>
      <c r="Y7">
        <v>30</v>
      </c>
      <c r="Z7">
        <v>35</v>
      </c>
      <c r="AA7" t="s">
        <v>210</v>
      </c>
      <c r="AB7" t="s">
        <v>211</v>
      </c>
      <c r="AC7" t="s">
        <v>210</v>
      </c>
      <c r="AD7" t="s">
        <v>205</v>
      </c>
      <c r="AE7" t="s">
        <v>28</v>
      </c>
      <c r="AF7">
        <v>0</v>
      </c>
      <c r="AG7">
        <v>0</v>
      </c>
    </row>
    <row r="8" spans="1:33" x14ac:dyDescent="0.25">
      <c r="A8" s="6" t="s">
        <v>212</v>
      </c>
      <c r="B8" t="s">
        <v>214</v>
      </c>
      <c r="C8" s="6" t="s">
        <v>213</v>
      </c>
      <c r="D8" t="s">
        <v>159</v>
      </c>
      <c r="E8" t="s">
        <v>9</v>
      </c>
      <c r="F8" t="s">
        <v>116</v>
      </c>
      <c r="G8">
        <v>9.9499999999999993</v>
      </c>
      <c r="H8">
        <v>2</v>
      </c>
      <c r="I8">
        <v>2</v>
      </c>
      <c r="J8">
        <v>1</v>
      </c>
      <c r="K8">
        <v>0.5</v>
      </c>
      <c r="L8" t="s">
        <v>215</v>
      </c>
      <c r="M8" t="s">
        <v>120</v>
      </c>
      <c r="N8" t="s">
        <v>216</v>
      </c>
      <c r="O8" t="s">
        <v>123</v>
      </c>
      <c r="R8" t="s">
        <v>217</v>
      </c>
      <c r="S8">
        <v>5403</v>
      </c>
      <c r="U8" t="s">
        <v>144</v>
      </c>
      <c r="V8">
        <v>713</v>
      </c>
      <c r="W8">
        <v>163768</v>
      </c>
      <c r="X8">
        <v>8516</v>
      </c>
      <c r="Y8">
        <v>30</v>
      </c>
      <c r="Z8">
        <v>35</v>
      </c>
      <c r="AA8" t="s">
        <v>218</v>
      </c>
      <c r="AB8" t="s">
        <v>219</v>
      </c>
      <c r="AC8" t="s">
        <v>218</v>
      </c>
      <c r="AD8" t="s">
        <v>212</v>
      </c>
      <c r="AE8" t="s">
        <v>37</v>
      </c>
      <c r="AF8">
        <v>0</v>
      </c>
      <c r="AG8">
        <v>0</v>
      </c>
    </row>
    <row r="9" spans="1:33" x14ac:dyDescent="0.25">
      <c r="A9" s="6" t="s">
        <v>222</v>
      </c>
      <c r="B9" t="s">
        <v>224</v>
      </c>
      <c r="C9" s="6" t="s">
        <v>223</v>
      </c>
      <c r="D9" t="s">
        <v>159</v>
      </c>
      <c r="E9" t="s">
        <v>9</v>
      </c>
      <c r="F9" t="s">
        <v>116</v>
      </c>
      <c r="G9">
        <v>4.95</v>
      </c>
      <c r="H9">
        <v>2</v>
      </c>
      <c r="I9">
        <v>2</v>
      </c>
      <c r="J9">
        <v>1</v>
      </c>
      <c r="K9">
        <v>0.5</v>
      </c>
      <c r="L9" t="s">
        <v>225</v>
      </c>
      <c r="M9" t="s">
        <v>120</v>
      </c>
      <c r="N9" t="s">
        <v>226</v>
      </c>
      <c r="O9" t="s">
        <v>123</v>
      </c>
      <c r="R9" t="s">
        <v>227</v>
      </c>
      <c r="S9">
        <v>5403</v>
      </c>
      <c r="U9" t="s">
        <v>144</v>
      </c>
      <c r="V9">
        <v>713</v>
      </c>
      <c r="W9">
        <v>163768</v>
      </c>
      <c r="X9">
        <v>8516</v>
      </c>
      <c r="Y9">
        <v>30</v>
      </c>
      <c r="Z9">
        <v>35</v>
      </c>
      <c r="AA9" t="s">
        <v>228</v>
      </c>
      <c r="AB9" t="s">
        <v>229</v>
      </c>
      <c r="AC9" t="s">
        <v>228</v>
      </c>
      <c r="AD9" t="s">
        <v>222</v>
      </c>
      <c r="AE9" t="s">
        <v>37</v>
      </c>
      <c r="AF9">
        <v>0</v>
      </c>
      <c r="AG9">
        <v>0</v>
      </c>
    </row>
    <row r="10" spans="1:33" x14ac:dyDescent="0.25">
      <c r="A10" s="6" t="s">
        <v>230</v>
      </c>
      <c r="B10" t="s">
        <v>232</v>
      </c>
      <c r="C10" s="6" t="s">
        <v>231</v>
      </c>
      <c r="D10" t="s">
        <v>159</v>
      </c>
      <c r="E10" t="s">
        <v>9</v>
      </c>
      <c r="F10" t="s">
        <v>116</v>
      </c>
      <c r="G10">
        <v>4.95</v>
      </c>
      <c r="H10">
        <v>2</v>
      </c>
      <c r="I10">
        <v>2</v>
      </c>
      <c r="J10">
        <v>1</v>
      </c>
      <c r="K10">
        <v>0.5</v>
      </c>
      <c r="L10" t="s">
        <v>233</v>
      </c>
      <c r="M10" t="s">
        <v>120</v>
      </c>
      <c r="N10" t="s">
        <v>234</v>
      </c>
      <c r="O10" t="s">
        <v>123</v>
      </c>
      <c r="R10" t="s">
        <v>235</v>
      </c>
      <c r="S10">
        <v>5403</v>
      </c>
      <c r="U10" t="s">
        <v>144</v>
      </c>
      <c r="V10">
        <v>713</v>
      </c>
      <c r="W10">
        <v>163768</v>
      </c>
      <c r="X10">
        <v>8516</v>
      </c>
      <c r="Y10">
        <v>30</v>
      </c>
      <c r="Z10">
        <v>35</v>
      </c>
      <c r="AA10" t="s">
        <v>236</v>
      </c>
      <c r="AB10" t="s">
        <v>237</v>
      </c>
      <c r="AC10" t="s">
        <v>236</v>
      </c>
      <c r="AD10" t="s">
        <v>230</v>
      </c>
      <c r="AE10" t="s">
        <v>37</v>
      </c>
      <c r="AF10">
        <v>0</v>
      </c>
      <c r="AG10">
        <v>0</v>
      </c>
    </row>
    <row r="11" spans="1:33" x14ac:dyDescent="0.25">
      <c r="A11" s="6" t="s">
        <v>238</v>
      </c>
      <c r="B11" t="s">
        <v>240</v>
      </c>
      <c r="C11" s="6" t="s">
        <v>239</v>
      </c>
      <c r="D11" t="s">
        <v>159</v>
      </c>
      <c r="E11" t="s">
        <v>9</v>
      </c>
      <c r="F11" t="s">
        <v>116</v>
      </c>
      <c r="G11">
        <v>4.95</v>
      </c>
      <c r="H11">
        <v>2</v>
      </c>
      <c r="I11">
        <v>2</v>
      </c>
      <c r="J11">
        <v>1</v>
      </c>
      <c r="K11">
        <v>0.5</v>
      </c>
      <c r="L11" t="s">
        <v>241</v>
      </c>
      <c r="M11" t="s">
        <v>120</v>
      </c>
      <c r="N11" t="s">
        <v>242</v>
      </c>
      <c r="O11" t="s">
        <v>123</v>
      </c>
      <c r="R11" t="s">
        <v>243</v>
      </c>
      <c r="S11">
        <v>5403</v>
      </c>
      <c r="U11" t="s">
        <v>144</v>
      </c>
      <c r="V11">
        <v>713</v>
      </c>
      <c r="W11">
        <v>163768</v>
      </c>
      <c r="X11">
        <v>8516</v>
      </c>
      <c r="Y11">
        <v>30</v>
      </c>
      <c r="Z11">
        <v>35</v>
      </c>
      <c r="AA11" t="s">
        <v>244</v>
      </c>
      <c r="AB11" t="s">
        <v>245</v>
      </c>
      <c r="AC11" t="s">
        <v>244</v>
      </c>
      <c r="AD11" t="s">
        <v>238</v>
      </c>
      <c r="AE11" t="s">
        <v>37</v>
      </c>
      <c r="AF11">
        <v>0</v>
      </c>
      <c r="AG11">
        <v>0</v>
      </c>
    </row>
    <row r="12" spans="1:33" x14ac:dyDescent="0.25">
      <c r="A12" s="6" t="s">
        <v>246</v>
      </c>
      <c r="B12" t="s">
        <v>247</v>
      </c>
      <c r="C12" s="6" t="s">
        <v>253</v>
      </c>
      <c r="D12" t="s">
        <v>159</v>
      </c>
      <c r="E12" t="s">
        <v>9</v>
      </c>
      <c r="F12" t="s">
        <v>116</v>
      </c>
      <c r="G12">
        <v>4.95</v>
      </c>
      <c r="H12">
        <v>2</v>
      </c>
      <c r="I12">
        <v>2</v>
      </c>
      <c r="J12">
        <v>1</v>
      </c>
      <c r="K12">
        <v>0.5</v>
      </c>
      <c r="L12" t="s">
        <v>248</v>
      </c>
      <c r="M12" t="s">
        <v>120</v>
      </c>
      <c r="N12" t="s">
        <v>249</v>
      </c>
      <c r="O12" t="s">
        <v>123</v>
      </c>
      <c r="R12" t="s">
        <v>250</v>
      </c>
      <c r="S12">
        <v>5403</v>
      </c>
      <c r="U12" t="s">
        <v>144</v>
      </c>
      <c r="V12">
        <v>713</v>
      </c>
      <c r="W12">
        <v>163768</v>
      </c>
      <c r="X12">
        <v>8516</v>
      </c>
      <c r="Y12">
        <v>30</v>
      </c>
      <c r="Z12">
        <v>35</v>
      </c>
      <c r="AA12" t="s">
        <v>251</v>
      </c>
      <c r="AB12" t="s">
        <v>252</v>
      </c>
      <c r="AC12" t="s">
        <v>251</v>
      </c>
      <c r="AD12" t="s">
        <v>246</v>
      </c>
      <c r="AE12" t="s">
        <v>37</v>
      </c>
      <c r="AF12">
        <v>0</v>
      </c>
      <c r="AG12">
        <v>0</v>
      </c>
    </row>
    <row r="13" spans="1:33" x14ac:dyDescent="0.25">
      <c r="A13" s="6" t="s">
        <v>255</v>
      </c>
      <c r="B13" t="s">
        <v>343</v>
      </c>
      <c r="C13" s="6" t="s">
        <v>254</v>
      </c>
      <c r="D13" t="s">
        <v>159</v>
      </c>
      <c r="E13" t="s">
        <v>9</v>
      </c>
      <c r="F13" t="s">
        <v>116</v>
      </c>
      <c r="G13">
        <v>4.95</v>
      </c>
      <c r="H13">
        <v>2</v>
      </c>
      <c r="I13">
        <v>2</v>
      </c>
      <c r="J13">
        <v>1</v>
      </c>
      <c r="K13">
        <v>0.5</v>
      </c>
      <c r="L13" t="s">
        <v>256</v>
      </c>
      <c r="M13" t="s">
        <v>120</v>
      </c>
      <c r="N13" t="s">
        <v>257</v>
      </c>
      <c r="O13" t="s">
        <v>123</v>
      </c>
      <c r="R13" t="s">
        <v>258</v>
      </c>
      <c r="S13">
        <v>5403</v>
      </c>
      <c r="U13" t="s">
        <v>144</v>
      </c>
      <c r="V13">
        <v>713</v>
      </c>
      <c r="W13">
        <v>163768</v>
      </c>
      <c r="X13">
        <v>8516</v>
      </c>
      <c r="Y13">
        <v>30</v>
      </c>
      <c r="Z13">
        <v>35</v>
      </c>
      <c r="AA13" t="s">
        <v>259</v>
      </c>
      <c r="AB13" t="s">
        <v>260</v>
      </c>
      <c r="AC13" t="s">
        <v>259</v>
      </c>
      <c r="AD13" t="s">
        <v>255</v>
      </c>
      <c r="AE13" t="s">
        <v>37</v>
      </c>
      <c r="AF13">
        <v>0</v>
      </c>
      <c r="AG13">
        <v>0</v>
      </c>
    </row>
    <row r="14" spans="1:33" x14ac:dyDescent="0.25">
      <c r="A14" s="6" t="s">
        <v>261</v>
      </c>
      <c r="B14" t="s">
        <v>344</v>
      </c>
      <c r="C14" s="6" t="s">
        <v>262</v>
      </c>
      <c r="D14" t="s">
        <v>159</v>
      </c>
      <c r="E14" t="s">
        <v>9</v>
      </c>
      <c r="F14" t="s">
        <v>116</v>
      </c>
      <c r="G14">
        <v>13.95</v>
      </c>
      <c r="H14">
        <v>2</v>
      </c>
      <c r="I14">
        <v>2</v>
      </c>
      <c r="J14">
        <v>1</v>
      </c>
      <c r="K14">
        <v>0.5</v>
      </c>
      <c r="L14" t="s">
        <v>263</v>
      </c>
      <c r="M14" t="s">
        <v>120</v>
      </c>
      <c r="N14" t="s">
        <v>264</v>
      </c>
      <c r="O14" t="s">
        <v>123</v>
      </c>
      <c r="R14" t="s">
        <v>265</v>
      </c>
      <c r="S14">
        <v>5403</v>
      </c>
      <c r="U14" t="s">
        <v>144</v>
      </c>
      <c r="V14">
        <v>713</v>
      </c>
      <c r="W14">
        <v>163768</v>
      </c>
      <c r="X14">
        <v>8516</v>
      </c>
      <c r="Y14">
        <v>30</v>
      </c>
      <c r="Z14">
        <v>35</v>
      </c>
      <c r="AA14" t="s">
        <v>266</v>
      </c>
      <c r="AB14" t="s">
        <v>267</v>
      </c>
      <c r="AC14" t="s">
        <v>266</v>
      </c>
      <c r="AD14" t="s">
        <v>261</v>
      </c>
      <c r="AE14" t="s">
        <v>34</v>
      </c>
      <c r="AF14">
        <v>0</v>
      </c>
      <c r="AG14">
        <v>0</v>
      </c>
    </row>
    <row r="15" spans="1:33" x14ac:dyDescent="0.25">
      <c r="A15" s="6" t="s">
        <v>268</v>
      </c>
      <c r="B15" t="s">
        <v>345</v>
      </c>
      <c r="C15" s="6" t="s">
        <v>269</v>
      </c>
      <c r="D15" t="s">
        <v>159</v>
      </c>
      <c r="E15" t="s">
        <v>9</v>
      </c>
      <c r="F15" t="s">
        <v>116</v>
      </c>
      <c r="G15">
        <v>6.95</v>
      </c>
      <c r="H15">
        <v>2</v>
      </c>
      <c r="I15">
        <v>2</v>
      </c>
      <c r="J15">
        <v>1</v>
      </c>
      <c r="K15">
        <v>0.5</v>
      </c>
      <c r="L15" t="s">
        <v>270</v>
      </c>
      <c r="M15" t="s">
        <v>120</v>
      </c>
      <c r="N15" t="s">
        <v>271</v>
      </c>
      <c r="O15" t="s">
        <v>123</v>
      </c>
      <c r="R15" t="s">
        <v>272</v>
      </c>
      <c r="S15">
        <v>5403</v>
      </c>
      <c r="U15" t="s">
        <v>144</v>
      </c>
      <c r="V15">
        <v>713</v>
      </c>
      <c r="W15">
        <v>163768</v>
      </c>
      <c r="X15">
        <v>8516</v>
      </c>
      <c r="Y15">
        <v>30</v>
      </c>
      <c r="Z15">
        <v>35</v>
      </c>
      <c r="AA15" t="s">
        <v>273</v>
      </c>
      <c r="AB15" t="s">
        <v>274</v>
      </c>
      <c r="AC15" t="s">
        <v>273</v>
      </c>
      <c r="AD15" t="s">
        <v>268</v>
      </c>
      <c r="AE15" t="s">
        <v>37</v>
      </c>
      <c r="AF15">
        <v>0</v>
      </c>
      <c r="AG15">
        <v>0</v>
      </c>
    </row>
    <row r="16" spans="1:33" x14ac:dyDescent="0.25">
      <c r="A16" s="6" t="s">
        <v>275</v>
      </c>
      <c r="B16" t="s">
        <v>346</v>
      </c>
      <c r="C16" s="6" t="s">
        <v>276</v>
      </c>
      <c r="D16" t="s">
        <v>159</v>
      </c>
      <c r="E16" t="s">
        <v>9</v>
      </c>
      <c r="F16" t="s">
        <v>116</v>
      </c>
      <c r="G16">
        <v>5.95</v>
      </c>
      <c r="H16">
        <v>2</v>
      </c>
      <c r="I16">
        <v>2</v>
      </c>
      <c r="J16">
        <v>1</v>
      </c>
      <c r="K16">
        <v>0.5</v>
      </c>
      <c r="L16" t="s">
        <v>277</v>
      </c>
      <c r="M16" t="s">
        <v>120</v>
      </c>
      <c r="N16" t="s">
        <v>278</v>
      </c>
      <c r="O16" t="s">
        <v>123</v>
      </c>
      <c r="R16" t="s">
        <v>279</v>
      </c>
      <c r="S16">
        <v>5403</v>
      </c>
      <c r="U16" t="s">
        <v>144</v>
      </c>
      <c r="V16">
        <v>713</v>
      </c>
      <c r="W16">
        <v>163768</v>
      </c>
      <c r="X16">
        <v>8516</v>
      </c>
      <c r="Y16">
        <v>30</v>
      </c>
      <c r="Z16">
        <v>35</v>
      </c>
      <c r="AA16" t="s">
        <v>280</v>
      </c>
      <c r="AB16" t="s">
        <v>281</v>
      </c>
      <c r="AC16" t="s">
        <v>280</v>
      </c>
      <c r="AD16" t="s">
        <v>275</v>
      </c>
      <c r="AE16" t="s">
        <v>75</v>
      </c>
      <c r="AF16">
        <v>0</v>
      </c>
      <c r="AG16">
        <v>0</v>
      </c>
    </row>
    <row r="17" spans="1:33" x14ac:dyDescent="0.25">
      <c r="A17" s="6" t="s">
        <v>282</v>
      </c>
      <c r="B17" t="s">
        <v>347</v>
      </c>
      <c r="C17" s="6" t="s">
        <v>283</v>
      </c>
      <c r="D17" t="s">
        <v>159</v>
      </c>
      <c r="E17" t="s">
        <v>9</v>
      </c>
      <c r="F17" t="s">
        <v>116</v>
      </c>
      <c r="G17">
        <v>5.95</v>
      </c>
      <c r="H17">
        <v>2</v>
      </c>
      <c r="I17">
        <v>2</v>
      </c>
      <c r="J17">
        <v>1</v>
      </c>
      <c r="K17">
        <v>0.5</v>
      </c>
      <c r="L17" t="s">
        <v>284</v>
      </c>
      <c r="M17" t="s">
        <v>120</v>
      </c>
      <c r="N17" t="s">
        <v>285</v>
      </c>
      <c r="O17" t="s">
        <v>123</v>
      </c>
      <c r="R17" t="s">
        <v>286</v>
      </c>
      <c r="S17">
        <v>5403</v>
      </c>
      <c r="U17" t="s">
        <v>144</v>
      </c>
      <c r="V17">
        <v>713</v>
      </c>
      <c r="W17">
        <v>163768</v>
      </c>
      <c r="X17">
        <v>8516</v>
      </c>
      <c r="Y17">
        <v>30</v>
      </c>
      <c r="Z17">
        <v>35</v>
      </c>
      <c r="AA17" t="s">
        <v>287</v>
      </c>
      <c r="AB17" t="s">
        <v>288</v>
      </c>
      <c r="AC17" t="s">
        <v>287</v>
      </c>
      <c r="AD17" t="s">
        <v>282</v>
      </c>
      <c r="AE17" t="s">
        <v>46</v>
      </c>
      <c r="AF17">
        <v>0</v>
      </c>
      <c r="AG17">
        <v>0</v>
      </c>
    </row>
    <row r="18" spans="1:33" x14ac:dyDescent="0.25">
      <c r="A18" s="6" t="s">
        <v>289</v>
      </c>
      <c r="B18" t="s">
        <v>348</v>
      </c>
      <c r="C18" s="6" t="s">
        <v>290</v>
      </c>
      <c r="D18" t="s">
        <v>159</v>
      </c>
      <c r="E18" t="s">
        <v>9</v>
      </c>
      <c r="F18" t="s">
        <v>116</v>
      </c>
      <c r="G18">
        <v>5.95</v>
      </c>
      <c r="H18">
        <v>2</v>
      </c>
      <c r="I18">
        <v>2</v>
      </c>
      <c r="J18">
        <v>1</v>
      </c>
      <c r="K18">
        <v>0.5</v>
      </c>
      <c r="L18" t="s">
        <v>291</v>
      </c>
      <c r="M18" t="s">
        <v>120</v>
      </c>
      <c r="N18" t="s">
        <v>292</v>
      </c>
      <c r="O18" t="s">
        <v>123</v>
      </c>
      <c r="R18" t="s">
        <v>293</v>
      </c>
      <c r="S18">
        <v>5403</v>
      </c>
      <c r="U18" t="s">
        <v>144</v>
      </c>
      <c r="V18">
        <v>713</v>
      </c>
      <c r="W18">
        <v>163768</v>
      </c>
      <c r="X18">
        <v>8516</v>
      </c>
      <c r="Y18">
        <v>30</v>
      </c>
      <c r="Z18">
        <v>35</v>
      </c>
      <c r="AA18" t="s">
        <v>294</v>
      </c>
      <c r="AB18" t="s">
        <v>295</v>
      </c>
      <c r="AC18" t="s">
        <v>294</v>
      </c>
      <c r="AD18" t="s">
        <v>289</v>
      </c>
      <c r="AE18" t="s">
        <v>46</v>
      </c>
      <c r="AF18">
        <v>0</v>
      </c>
      <c r="AG18">
        <v>0</v>
      </c>
    </row>
    <row r="19" spans="1:33" x14ac:dyDescent="0.25">
      <c r="A19" s="6" t="s">
        <v>296</v>
      </c>
      <c r="B19" t="s">
        <v>349</v>
      </c>
      <c r="C19" s="6" t="s">
        <v>297</v>
      </c>
      <c r="D19" t="s">
        <v>159</v>
      </c>
      <c r="E19" t="s">
        <v>9</v>
      </c>
      <c r="F19" t="s">
        <v>116</v>
      </c>
      <c r="G19">
        <v>5.95</v>
      </c>
      <c r="H19">
        <v>2</v>
      </c>
      <c r="I19">
        <v>2</v>
      </c>
      <c r="J19">
        <v>1</v>
      </c>
      <c r="K19">
        <v>0.5</v>
      </c>
      <c r="L19" t="s">
        <v>298</v>
      </c>
      <c r="M19" t="s">
        <v>120</v>
      </c>
      <c r="N19" t="s">
        <v>299</v>
      </c>
      <c r="O19" t="s">
        <v>123</v>
      </c>
      <c r="R19" t="s">
        <v>300</v>
      </c>
      <c r="S19">
        <v>5403</v>
      </c>
      <c r="U19" t="s">
        <v>144</v>
      </c>
      <c r="V19">
        <v>713</v>
      </c>
      <c r="W19">
        <v>163768</v>
      </c>
      <c r="X19">
        <v>8516</v>
      </c>
      <c r="Y19">
        <v>30</v>
      </c>
      <c r="Z19">
        <v>35</v>
      </c>
      <c r="AA19" t="s">
        <v>301</v>
      </c>
      <c r="AB19" t="s">
        <v>302</v>
      </c>
      <c r="AC19" t="s">
        <v>301</v>
      </c>
      <c r="AD19" t="s">
        <v>296</v>
      </c>
      <c r="AE19" t="s">
        <v>46</v>
      </c>
      <c r="AF19">
        <v>0</v>
      </c>
      <c r="AG19">
        <v>0</v>
      </c>
    </row>
    <row r="20" spans="1:33" x14ac:dyDescent="0.25">
      <c r="A20" s="6" t="s">
        <v>303</v>
      </c>
      <c r="B20" t="s">
        <v>304</v>
      </c>
      <c r="C20" s="6" t="s">
        <v>310</v>
      </c>
      <c r="D20" t="s">
        <v>159</v>
      </c>
      <c r="E20" t="s">
        <v>9</v>
      </c>
      <c r="F20" t="s">
        <v>116</v>
      </c>
      <c r="G20">
        <v>6.95</v>
      </c>
      <c r="H20">
        <v>2</v>
      </c>
      <c r="I20">
        <v>2</v>
      </c>
      <c r="J20">
        <v>1</v>
      </c>
      <c r="K20">
        <v>0.5</v>
      </c>
      <c r="L20" t="s">
        <v>305</v>
      </c>
      <c r="M20" t="s">
        <v>120</v>
      </c>
      <c r="N20" t="s">
        <v>306</v>
      </c>
      <c r="O20" t="s">
        <v>123</v>
      </c>
      <c r="R20" t="s">
        <v>307</v>
      </c>
      <c r="S20">
        <v>5403</v>
      </c>
      <c r="U20" t="s">
        <v>144</v>
      </c>
      <c r="V20">
        <v>713</v>
      </c>
      <c r="W20">
        <v>163768</v>
      </c>
      <c r="X20">
        <v>8516</v>
      </c>
      <c r="Y20">
        <v>30</v>
      </c>
      <c r="Z20">
        <v>35</v>
      </c>
      <c r="AA20" t="s">
        <v>308</v>
      </c>
      <c r="AB20" t="s">
        <v>309</v>
      </c>
      <c r="AC20" t="s">
        <v>308</v>
      </c>
      <c r="AD20" t="s">
        <v>303</v>
      </c>
      <c r="AE20" t="s">
        <v>37</v>
      </c>
      <c r="AF20">
        <v>0</v>
      </c>
      <c r="AG20">
        <v>0</v>
      </c>
    </row>
    <row r="21" spans="1:33" x14ac:dyDescent="0.25">
      <c r="A21" s="6" t="s">
        <v>311</v>
      </c>
      <c r="B21" t="s">
        <v>314</v>
      </c>
      <c r="C21" s="6" t="s">
        <v>313</v>
      </c>
      <c r="D21" t="s">
        <v>159</v>
      </c>
      <c r="E21" t="s">
        <v>9</v>
      </c>
      <c r="F21" t="s">
        <v>116</v>
      </c>
      <c r="G21">
        <v>6.95</v>
      </c>
      <c r="H21">
        <v>2</v>
      </c>
      <c r="I21">
        <v>2</v>
      </c>
      <c r="J21">
        <v>1</v>
      </c>
      <c r="K21">
        <v>0.5</v>
      </c>
      <c r="L21" t="s">
        <v>315</v>
      </c>
      <c r="M21" t="s">
        <v>120</v>
      </c>
      <c r="N21" t="s">
        <v>316</v>
      </c>
      <c r="O21" t="s">
        <v>123</v>
      </c>
      <c r="R21" t="s">
        <v>317</v>
      </c>
      <c r="S21">
        <v>5403</v>
      </c>
      <c r="U21" t="s">
        <v>144</v>
      </c>
      <c r="V21">
        <v>713</v>
      </c>
      <c r="W21">
        <v>163768</v>
      </c>
      <c r="X21">
        <v>8516</v>
      </c>
      <c r="Y21">
        <v>30</v>
      </c>
      <c r="Z21">
        <v>35</v>
      </c>
      <c r="AA21" t="s">
        <v>318</v>
      </c>
      <c r="AB21" t="s">
        <v>319</v>
      </c>
      <c r="AC21" t="s">
        <v>318</v>
      </c>
      <c r="AD21" t="s">
        <v>311</v>
      </c>
      <c r="AE21" t="s">
        <v>37</v>
      </c>
      <c r="AF21">
        <v>0</v>
      </c>
      <c r="AG21">
        <v>0</v>
      </c>
    </row>
    <row r="22" spans="1:33" x14ac:dyDescent="0.25">
      <c r="A22" s="6" t="s">
        <v>312</v>
      </c>
      <c r="B22" t="s">
        <v>321</v>
      </c>
      <c r="C22" s="6" t="s">
        <v>320</v>
      </c>
      <c r="D22" t="s">
        <v>159</v>
      </c>
      <c r="E22" t="s">
        <v>9</v>
      </c>
      <c r="F22" t="s">
        <v>116</v>
      </c>
      <c r="G22">
        <v>6.95</v>
      </c>
      <c r="H22">
        <v>2</v>
      </c>
      <c r="I22">
        <v>2</v>
      </c>
      <c r="J22">
        <v>1</v>
      </c>
      <c r="K22">
        <v>0.5</v>
      </c>
      <c r="L22" t="s">
        <v>322</v>
      </c>
      <c r="M22" t="s">
        <v>120</v>
      </c>
      <c r="N22" t="s">
        <v>323</v>
      </c>
      <c r="O22" t="s">
        <v>123</v>
      </c>
      <c r="R22" t="s">
        <v>324</v>
      </c>
      <c r="S22">
        <v>5403</v>
      </c>
      <c r="U22" t="s">
        <v>144</v>
      </c>
      <c r="V22">
        <v>713</v>
      </c>
      <c r="W22">
        <v>163768</v>
      </c>
      <c r="X22">
        <v>8516</v>
      </c>
      <c r="Y22">
        <v>30</v>
      </c>
      <c r="Z22">
        <v>35</v>
      </c>
      <c r="AA22" t="s">
        <v>325</v>
      </c>
      <c r="AB22" t="s">
        <v>326</v>
      </c>
      <c r="AC22" t="s">
        <v>325</v>
      </c>
      <c r="AD22" t="s">
        <v>312</v>
      </c>
      <c r="AE22" t="s">
        <v>37</v>
      </c>
      <c r="AF22">
        <v>0</v>
      </c>
      <c r="AG22">
        <v>0</v>
      </c>
    </row>
    <row r="23" spans="1:33" x14ac:dyDescent="0.25">
      <c r="A23" s="6" t="s">
        <v>328</v>
      </c>
      <c r="B23" t="s">
        <v>329</v>
      </c>
      <c r="C23" s="6" t="s">
        <v>327</v>
      </c>
      <c r="D23" t="s">
        <v>159</v>
      </c>
      <c r="E23" t="s">
        <v>9</v>
      </c>
      <c r="F23" t="s">
        <v>116</v>
      </c>
      <c r="G23">
        <v>6.95</v>
      </c>
      <c r="H23">
        <v>2</v>
      </c>
      <c r="I23">
        <v>2</v>
      </c>
      <c r="J23">
        <v>1</v>
      </c>
      <c r="K23">
        <v>0.5</v>
      </c>
      <c r="L23" t="s">
        <v>330</v>
      </c>
      <c r="M23" t="s">
        <v>120</v>
      </c>
      <c r="N23" t="s">
        <v>331</v>
      </c>
      <c r="O23" t="s">
        <v>123</v>
      </c>
      <c r="R23" t="s">
        <v>332</v>
      </c>
      <c r="S23">
        <v>5403</v>
      </c>
      <c r="U23" t="s">
        <v>144</v>
      </c>
      <c r="V23">
        <v>713</v>
      </c>
      <c r="W23">
        <v>163768</v>
      </c>
      <c r="X23">
        <v>8516</v>
      </c>
      <c r="Y23">
        <v>30</v>
      </c>
      <c r="Z23">
        <v>35</v>
      </c>
      <c r="AA23" t="s">
        <v>333</v>
      </c>
      <c r="AB23" t="s">
        <v>334</v>
      </c>
      <c r="AC23" t="s">
        <v>333</v>
      </c>
      <c r="AD23" t="s">
        <v>328</v>
      </c>
      <c r="AE23" t="s">
        <v>37</v>
      </c>
      <c r="AF23">
        <v>0</v>
      </c>
      <c r="AG23">
        <v>0</v>
      </c>
    </row>
    <row r="24" spans="1:33" x14ac:dyDescent="0.25">
      <c r="A24" s="6" t="s">
        <v>335</v>
      </c>
      <c r="B24" t="s">
        <v>342</v>
      </c>
      <c r="C24" s="6" t="s">
        <v>336</v>
      </c>
      <c r="D24" t="s">
        <v>159</v>
      </c>
      <c r="E24" t="s">
        <v>9</v>
      </c>
      <c r="F24" t="s">
        <v>116</v>
      </c>
      <c r="G24">
        <v>9.9499999999999993</v>
      </c>
      <c r="H24">
        <v>4.5</v>
      </c>
      <c r="I24">
        <v>2</v>
      </c>
      <c r="J24">
        <v>3</v>
      </c>
      <c r="K24">
        <v>0.5</v>
      </c>
      <c r="L24" t="s">
        <v>337</v>
      </c>
      <c r="M24" t="s">
        <v>120</v>
      </c>
      <c r="N24" t="s">
        <v>338</v>
      </c>
      <c r="O24" t="s">
        <v>123</v>
      </c>
      <c r="R24" t="s">
        <v>339</v>
      </c>
      <c r="S24">
        <v>5403</v>
      </c>
      <c r="U24" t="s">
        <v>144</v>
      </c>
      <c r="V24">
        <v>713</v>
      </c>
      <c r="W24">
        <v>163768</v>
      </c>
      <c r="X24">
        <v>8516</v>
      </c>
      <c r="Y24">
        <v>30</v>
      </c>
      <c r="Z24">
        <v>35</v>
      </c>
      <c r="AA24" t="s">
        <v>340</v>
      </c>
      <c r="AB24" t="s">
        <v>341</v>
      </c>
      <c r="AC24" t="s">
        <v>340</v>
      </c>
      <c r="AD24" t="s">
        <v>335</v>
      </c>
      <c r="AE24" t="s">
        <v>37</v>
      </c>
      <c r="AF24">
        <v>0</v>
      </c>
      <c r="AG24">
        <v>0</v>
      </c>
    </row>
    <row r="25" spans="1:33" x14ac:dyDescent="0.25">
      <c r="A25" s="6" t="s">
        <v>350</v>
      </c>
      <c r="B25" t="s">
        <v>357</v>
      </c>
      <c r="C25" s="6" t="s">
        <v>351</v>
      </c>
      <c r="D25" t="s">
        <v>159</v>
      </c>
      <c r="E25" t="s">
        <v>9</v>
      </c>
      <c r="F25" t="s">
        <v>116</v>
      </c>
      <c r="G25">
        <v>9.9499999999999993</v>
      </c>
      <c r="H25">
        <v>4.5</v>
      </c>
      <c r="I25">
        <v>2</v>
      </c>
      <c r="J25">
        <v>3</v>
      </c>
      <c r="K25">
        <v>0.5</v>
      </c>
      <c r="L25" t="s">
        <v>352</v>
      </c>
      <c r="M25" t="s">
        <v>120</v>
      </c>
      <c r="N25" t="s">
        <v>353</v>
      </c>
      <c r="O25" t="s">
        <v>123</v>
      </c>
      <c r="R25" t="s">
        <v>354</v>
      </c>
      <c r="S25">
        <v>5403</v>
      </c>
      <c r="U25" t="s">
        <v>144</v>
      </c>
      <c r="V25">
        <v>713</v>
      </c>
      <c r="W25">
        <v>163768</v>
      </c>
      <c r="X25">
        <v>8516</v>
      </c>
      <c r="Y25">
        <v>30</v>
      </c>
      <c r="Z25">
        <v>35</v>
      </c>
      <c r="AA25" t="s">
        <v>355</v>
      </c>
      <c r="AB25" t="s">
        <v>356</v>
      </c>
      <c r="AC25" t="s">
        <v>355</v>
      </c>
      <c r="AD25" t="s">
        <v>350</v>
      </c>
      <c r="AE25" t="s">
        <v>37</v>
      </c>
      <c r="AF25">
        <v>0</v>
      </c>
      <c r="AG25">
        <v>0</v>
      </c>
    </row>
    <row r="26" spans="1:33" x14ac:dyDescent="0.25">
      <c r="A26" s="6" t="s">
        <v>359</v>
      </c>
      <c r="B26" t="s">
        <v>366</v>
      </c>
      <c r="C26" s="6" t="s">
        <v>360</v>
      </c>
      <c r="D26" t="s">
        <v>159</v>
      </c>
      <c r="E26" t="s">
        <v>9</v>
      </c>
      <c r="F26" t="s">
        <v>116</v>
      </c>
      <c r="G26">
        <v>9.9499999999999993</v>
      </c>
      <c r="H26">
        <v>4.5</v>
      </c>
      <c r="I26">
        <v>2</v>
      </c>
      <c r="J26">
        <v>3</v>
      </c>
      <c r="K26">
        <v>0.5</v>
      </c>
      <c r="L26" t="s">
        <v>361</v>
      </c>
      <c r="M26" t="s">
        <v>120</v>
      </c>
      <c r="N26" t="s">
        <v>362</v>
      </c>
      <c r="O26" t="s">
        <v>123</v>
      </c>
      <c r="R26" t="s">
        <v>363</v>
      </c>
      <c r="S26">
        <v>5403</v>
      </c>
      <c r="U26" t="s">
        <v>144</v>
      </c>
      <c r="V26">
        <v>713</v>
      </c>
      <c r="W26">
        <v>163768</v>
      </c>
      <c r="X26">
        <v>8516</v>
      </c>
      <c r="Y26">
        <v>30</v>
      </c>
      <c r="Z26">
        <v>35</v>
      </c>
      <c r="AA26" t="s">
        <v>364</v>
      </c>
      <c r="AB26" t="s">
        <v>365</v>
      </c>
      <c r="AC26" t="s">
        <v>364</v>
      </c>
      <c r="AD26" t="s">
        <v>359</v>
      </c>
      <c r="AE26" t="s">
        <v>37</v>
      </c>
      <c r="AF26">
        <v>0</v>
      </c>
      <c r="AG26">
        <v>0</v>
      </c>
    </row>
    <row r="27" spans="1:33" ht="15.75" customHeight="1" x14ac:dyDescent="0.25">
      <c r="A27" s="6" t="s">
        <v>367</v>
      </c>
      <c r="B27" t="s">
        <v>373</v>
      </c>
      <c r="C27" s="6" t="s">
        <v>358</v>
      </c>
      <c r="D27" t="s">
        <v>159</v>
      </c>
      <c r="E27" t="s">
        <v>9</v>
      </c>
      <c r="F27" t="s">
        <v>116</v>
      </c>
      <c r="G27">
        <v>20</v>
      </c>
      <c r="H27">
        <v>3</v>
      </c>
      <c r="I27">
        <v>2</v>
      </c>
      <c r="J27">
        <v>3</v>
      </c>
      <c r="K27">
        <v>0.5</v>
      </c>
      <c r="L27" t="s">
        <v>368</v>
      </c>
      <c r="M27" t="s">
        <v>120</v>
      </c>
      <c r="N27" t="s">
        <v>369</v>
      </c>
      <c r="O27" t="s">
        <v>123</v>
      </c>
      <c r="R27" t="s">
        <v>370</v>
      </c>
      <c r="S27">
        <v>5403</v>
      </c>
      <c r="U27" t="s">
        <v>144</v>
      </c>
      <c r="V27">
        <v>713</v>
      </c>
      <c r="W27">
        <v>163768</v>
      </c>
      <c r="X27">
        <v>8516</v>
      </c>
      <c r="Y27">
        <v>30</v>
      </c>
      <c r="Z27">
        <v>35</v>
      </c>
      <c r="AA27" t="s">
        <v>371</v>
      </c>
      <c r="AB27" t="s">
        <v>372</v>
      </c>
      <c r="AC27" t="s">
        <v>371</v>
      </c>
      <c r="AD27" t="s">
        <v>367</v>
      </c>
      <c r="AE27" t="s">
        <v>37</v>
      </c>
      <c r="AF27">
        <v>0</v>
      </c>
      <c r="AG27">
        <v>0</v>
      </c>
    </row>
    <row r="28" spans="1:33" x14ac:dyDescent="0.25">
      <c r="A28" s="6" t="s">
        <v>374</v>
      </c>
      <c r="B28" t="s">
        <v>376</v>
      </c>
      <c r="C28" s="6" t="s">
        <v>375</v>
      </c>
      <c r="D28" t="s">
        <v>159</v>
      </c>
      <c r="E28" t="s">
        <v>9</v>
      </c>
      <c r="F28" t="s">
        <v>116</v>
      </c>
      <c r="G28">
        <v>20</v>
      </c>
      <c r="H28">
        <v>6</v>
      </c>
      <c r="I28">
        <v>2</v>
      </c>
      <c r="J28">
        <v>1</v>
      </c>
      <c r="K28">
        <v>0.5</v>
      </c>
      <c r="L28" t="s">
        <v>377</v>
      </c>
      <c r="M28" t="s">
        <v>120</v>
      </c>
      <c r="N28" t="s">
        <v>378</v>
      </c>
      <c r="O28" t="s">
        <v>123</v>
      </c>
      <c r="R28" t="s">
        <v>379</v>
      </c>
      <c r="S28">
        <v>5403</v>
      </c>
      <c r="U28" t="s">
        <v>144</v>
      </c>
      <c r="V28">
        <v>713</v>
      </c>
      <c r="W28">
        <v>163768</v>
      </c>
      <c r="X28">
        <v>8516</v>
      </c>
      <c r="Y28">
        <v>30</v>
      </c>
      <c r="Z28">
        <v>35</v>
      </c>
      <c r="AA28" t="s">
        <v>380</v>
      </c>
      <c r="AB28" t="s">
        <v>381</v>
      </c>
      <c r="AC28" t="s">
        <v>380</v>
      </c>
      <c r="AD28" t="s">
        <v>374</v>
      </c>
      <c r="AE28" t="s">
        <v>32</v>
      </c>
      <c r="AF28">
        <v>0</v>
      </c>
      <c r="AG28">
        <v>0</v>
      </c>
    </row>
    <row r="29" spans="1:33" x14ac:dyDescent="0.25">
      <c r="A29" s="6" t="s">
        <v>383</v>
      </c>
      <c r="B29" t="s">
        <v>389</v>
      </c>
      <c r="C29" s="6" t="s">
        <v>382</v>
      </c>
      <c r="D29" t="s">
        <v>159</v>
      </c>
      <c r="E29" t="s">
        <v>9</v>
      </c>
      <c r="F29" t="s">
        <v>116</v>
      </c>
      <c r="G29">
        <v>5.95</v>
      </c>
      <c r="H29">
        <v>1</v>
      </c>
      <c r="I29">
        <v>1</v>
      </c>
      <c r="J29">
        <v>1</v>
      </c>
      <c r="K29">
        <v>0.5</v>
      </c>
      <c r="L29" t="s">
        <v>384</v>
      </c>
      <c r="M29" t="s">
        <v>120</v>
      </c>
      <c r="N29" t="s">
        <v>385</v>
      </c>
      <c r="O29" t="s">
        <v>123</v>
      </c>
      <c r="R29" t="s">
        <v>386</v>
      </c>
      <c r="S29">
        <v>5403</v>
      </c>
      <c r="U29" t="s">
        <v>144</v>
      </c>
      <c r="V29">
        <v>713</v>
      </c>
      <c r="W29">
        <v>163768</v>
      </c>
      <c r="X29">
        <v>8516</v>
      </c>
      <c r="Y29">
        <v>30</v>
      </c>
      <c r="Z29">
        <v>35</v>
      </c>
      <c r="AA29" t="s">
        <v>387</v>
      </c>
      <c r="AB29" t="s">
        <v>388</v>
      </c>
      <c r="AC29" t="s">
        <v>387</v>
      </c>
      <c r="AD29" t="s">
        <v>383</v>
      </c>
      <c r="AE29" t="s">
        <v>37</v>
      </c>
      <c r="AF29">
        <v>0</v>
      </c>
      <c r="AG29">
        <v>0</v>
      </c>
    </row>
    <row r="30" spans="1:33" x14ac:dyDescent="0.25">
      <c r="A30" s="6" t="s">
        <v>212</v>
      </c>
      <c r="B30" t="s">
        <v>395</v>
      </c>
      <c r="C30" s="6" t="s">
        <v>390</v>
      </c>
      <c r="D30" t="s">
        <v>159</v>
      </c>
      <c r="E30" t="s">
        <v>9</v>
      </c>
      <c r="F30" t="s">
        <v>116</v>
      </c>
      <c r="G30">
        <v>7.95</v>
      </c>
      <c r="H30">
        <v>1</v>
      </c>
      <c r="I30">
        <v>3</v>
      </c>
      <c r="J30">
        <v>1</v>
      </c>
      <c r="K30">
        <v>0.5</v>
      </c>
      <c r="L30" t="s">
        <v>391</v>
      </c>
      <c r="M30" t="s">
        <v>120</v>
      </c>
      <c r="N30" t="s">
        <v>216</v>
      </c>
      <c r="O30" t="s">
        <v>123</v>
      </c>
      <c r="R30" t="s">
        <v>392</v>
      </c>
      <c r="S30">
        <v>5403</v>
      </c>
      <c r="U30" t="s">
        <v>144</v>
      </c>
      <c r="V30">
        <v>713</v>
      </c>
      <c r="W30">
        <v>163768</v>
      </c>
      <c r="X30">
        <v>8516</v>
      </c>
      <c r="Y30">
        <v>30</v>
      </c>
      <c r="Z30">
        <v>35</v>
      </c>
      <c r="AA30" t="s">
        <v>393</v>
      </c>
      <c r="AB30" t="s">
        <v>394</v>
      </c>
      <c r="AC30" t="s">
        <v>393</v>
      </c>
      <c r="AD30" t="s">
        <v>212</v>
      </c>
      <c r="AE30" t="s">
        <v>37</v>
      </c>
      <c r="AF30">
        <v>0</v>
      </c>
      <c r="AG30">
        <v>0</v>
      </c>
    </row>
  </sheetData>
  <pageMargins left="0.7" right="0.7" top="0.75" bottom="0.75" header="0.3" footer="0.3"/>
  <pageSetup paperSize="11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ClearThemAll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 Lewter</dc:creator>
  <cp:lastModifiedBy>Shipping and Returns</cp:lastModifiedBy>
  <cp:lastPrinted>2017-05-10T20:50:24Z</cp:lastPrinted>
  <dcterms:created xsi:type="dcterms:W3CDTF">2017-05-03T00:10:24Z</dcterms:created>
  <dcterms:modified xsi:type="dcterms:W3CDTF">2019-07-05T13:23:21Z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